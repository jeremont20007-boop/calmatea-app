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SUMEN" sheetId="1" state="visible" r:id="rId3"/>
    <sheet name="DIAGNOSTICO" sheetId="2" state="visible" r:id="rId4"/>
    <sheet name="WEB" sheetId="3" state="visible" r:id="rId5"/>
    <sheet name="ABONO" sheetId="4" state="visible" r:id="rId6"/>
    <sheet name="PROPUESTA" sheetId="5" state="visible" r:id="rId7"/>
    <sheet name="DOCS" sheetId="6" state="visible" r:id="rId8"/>
    <sheet name="LISTAS" sheetId="7" state="hidden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<sst xmlns="http://schemas.openxmlformats.org/spreadsheetml/2006/main" count="428" uniqueCount="342">
  <si>
    <t xml:space="preserve">ANÁLISIS INTEGRAL DEL CLIENTE Y PROPUESTA DE ABONO</t>
  </si>
  <si>
    <t xml:space="preserve">Estudio Contable — Propuesta de valor para nuevos clientes</t>
  </si>
  <si>
    <t xml:space="preserve">1) FICHA DEL CLIENTE</t>
  </si>
  <si>
    <t xml:space="preserve">Cliente</t>
  </si>
  <si>
    <t xml:space="preserve">MATHEU, MARCOS</t>
  </si>
  <si>
    <t xml:space="preserve">Nombre comercial</t>
  </si>
  <si>
    <t xml:space="preserve">DISTRIBUIDORA EXPRESS</t>
  </si>
  <si>
    <t xml:space="preserve">CUIT</t>
  </si>
  <si>
    <t xml:space="preserve">20-31822115-5</t>
  </si>
  <si>
    <t xml:space="preserve">Condición fiscal</t>
  </si>
  <si>
    <t xml:space="preserve">A CONFIRMAR: carpeta dice Resp. Inscripto, pero la base lo ubica en zona Monotributo — bajar constancia de inscripción</t>
  </si>
  <si>
    <t xml:space="preserve">Ingresos Brutos</t>
  </si>
  <si>
    <t xml:space="preserve">A CONFIRMAR (sin dato en la base del estudio)</t>
  </si>
  <si>
    <t xml:space="preserve">Empleados declarados</t>
  </si>
  <si>
    <t xml:space="preserve">A confirmar en ARCA (F.931)</t>
  </si>
  <si>
    <t xml:space="preserve">Sitio web</t>
  </si>
  <si>
    <t xml:space="preserve">https://distribuidoraexpress.com.ar/</t>
  </si>
  <si>
    <t xml:space="preserve">Contacto</t>
  </si>
  <si>
    <t xml:space="preserve">A completar</t>
  </si>
  <si>
    <t xml:space="preserve">Fecha del diagnóstico</t>
  </si>
  <si>
    <t xml:space="preserve">07/08/2026</t>
  </si>
  <si>
    <t xml:space="preserve">2) SEMÁFORO DEL DIAGNÓSTICO ARCA</t>
  </si>
  <si>
    <t xml:space="preserve">Puntos pendientes de revisar</t>
  </si>
  <si>
    <t xml:space="preserve">Puntos OK</t>
  </si>
  <si>
    <t xml:space="preserve">Alertas (atención)</t>
  </si>
  <si>
    <t xml:space="preserve">Críticos (acción inmediata)</t>
  </si>
  <si>
    <t xml:space="preserve">3) LA PROPUESTA EN NÚMEROS (plan recomendado: PROFESIONAL)</t>
  </si>
  <si>
    <t xml:space="preserve">Valor de lista de todo lo incluido (por mes)</t>
  </si>
  <si>
    <t xml:space="preserve">Precio del abono propuesto (por mes)</t>
  </si>
  <si>
    <t xml:space="preserve">Ahorro para el cliente vs. contratar suelto</t>
  </si>
  <si>
    <t xml:space="preserve">Margen bruto estimado para el estudio</t>
  </si>
  <si>
    <t xml:space="preserve">4) PRÓXIMOS PASOS</t>
  </si>
  <si>
    <t xml:space="preserve">1. Completar la hoja DIAGNOSTICO ingresando a ARCA con clave fiscal (checklist guiado, 45-60 min).</t>
  </si>
  <si>
    <t xml:space="preserve">2. Completar la hoja WEB revisando el sitio del cliente con la guía fiscal/comercial.</t>
  </si>
  <si>
    <t xml:space="preserve">3. Ajustar precios y alcance en la hoja ABONO (celdas azules/amarillas).</t>
  </si>
  <si>
    <t xml:space="preserve">4. Presentar la hoja PROPUESTA al cliente (guion de reunión en el informe DIAGNOSTICO.md).</t>
  </si>
  <si>
    <t xml:space="preserve">5. Cargar el PDF que envió el cliente y clasificarlo en la hoja DOCS.</t>
  </si>
  <si>
    <t xml:space="preserve">LEYENDA DE COLORES</t>
  </si>
  <si>
    <t xml:space="preserve">Celdas amarillas: completar con datos reales</t>
  </si>
  <si>
    <t xml:space="preserve">Texto azul: valores de ejemplo, editables según tu lista de precios</t>
  </si>
  <si>
    <t xml:space="preserve">Texto verde: fórmula vinculada a otra hoja (no tocar)</t>
  </si>
  <si>
    <t xml:space="preserve">Texto negro: fórmulas y textos fijos (no tocar)</t>
  </si>
  <si>
    <t xml:space="preserve">Nota: los importes de honorarios de este archivo son EJEMPLOS para trabajar la propuesta; ajustalos a la lista de precios del estudio. Fuente de datos del cliente: base interna del estudio (Claves - MyA.xlsx en Drive) y carpeta Dropbox del cliente. Sin acceso a ARCA desde esta sesión.</t>
  </si>
  <si>
    <t xml:space="preserve">DIAGNÓSTICO FISCAL EN ARCA — CHECKLIST GUIADO (completar con clave fiscal del cliente)</t>
  </si>
  <si>
    <t xml:space="preserve">Cómo usarlo: entrá a arca.gob.ar con la clave fiscal del cliente y recorré los servicios de la columna 'Dónde mirar'. Cargá Estado, Hallazgo e Impacto $. La fila 4 es un EJEMPLO del formato esperado.</t>
  </si>
  <si>
    <t xml:space="preserve">N°</t>
  </si>
  <si>
    <t xml:space="preserve">Área</t>
  </si>
  <si>
    <t xml:space="preserve">Dónde mirar (servicio ARCA)</t>
  </si>
  <si>
    <t xml:space="preserve">Qué revisar / pregunta clave</t>
  </si>
  <si>
    <t xml:space="preserve">Hallazgo</t>
  </si>
  <si>
    <t xml:space="preserve">Estado</t>
  </si>
  <si>
    <t xml:space="preserve">Detalle del hallazgo</t>
  </si>
  <si>
    <t xml:space="preserve">Impacto $ est.</t>
  </si>
  <si>
    <t xml:space="preserve">Oportunidad para el estudio</t>
  </si>
  <si>
    <t xml:space="preserve">Prioridad</t>
  </si>
  <si>
    <t xml:space="preserve">Datos registrales</t>
  </si>
  <si>
    <t xml:space="preserve">Sistema Registral &gt; Registro Tributario</t>
  </si>
  <si>
    <t xml:space="preserve">Estado del CUIT (activo/limitado), actividades declaradas vs. reales, domicilio fiscal, DFE constituido.</t>
  </si>
  <si>
    <t xml:space="preserve">Actividades AFIP no reflejan venta online (EJEMPLO)</t>
  </si>
  <si>
    <t xml:space="preserve">Alerta</t>
  </si>
  <si>
    <t xml:space="preserve">Falta actividad 479101 venta por internet (EJEMPLO)</t>
  </si>
  <si>
    <t xml:space="preserve">Adecuación registral inmediata (quick win, sin costo p/ cliente)</t>
  </si>
  <si>
    <t xml:space="preserve">Alta</t>
  </si>
  <si>
    <t xml:space="preserve">Padrón / Constancia</t>
  </si>
  <si>
    <t xml:space="preserve">Constancia de inscripción</t>
  </si>
  <si>
    <t xml:space="preserve">Impuestos activos: IVA, Ganancias, Autónomos. ¿Figura algo dado de baja de oficio?</t>
  </si>
  <si>
    <t xml:space="preserve">Pendiente</t>
  </si>
  <si>
    <t xml:space="preserve">Regularización de inscripciones</t>
  </si>
  <si>
    <t xml:space="preserve">Deuda corriente</t>
  </si>
  <si>
    <t xml:space="preserve">Sistema de Cuentas Tributarias (CCMA)</t>
  </si>
  <si>
    <t xml:space="preserve">Deuda exigible por impuesto, intereses resarcitorios, saldos de libre disponibilidad sin usar.</t>
  </si>
  <si>
    <t xml:space="preserve">Compensaciones + plan de pagos = alivio de caja inmediato</t>
  </si>
  <si>
    <t xml:space="preserve">Presentaciones</t>
  </si>
  <si>
    <t xml:space="preserve">Mis DDJJ / Presentaciones</t>
  </si>
  <si>
    <t xml:space="preserve">DDJJ vencidas no presentadas (IVA, Ganancias, BP). Multas automáticas pendientes.</t>
  </si>
  <si>
    <t xml:space="preserve">Puesta al día con reducción de multas (art. 49)</t>
  </si>
  <si>
    <t xml:space="preserve">Planes de pago</t>
  </si>
  <si>
    <t xml:space="preserve">Mis Facilidades</t>
  </si>
  <si>
    <t xml:space="preserve">Planes vigentes (cuota, CBU debitado), planes caducos, deuda replanificable.</t>
  </si>
  <si>
    <t xml:space="preserve">Reformulación de planes / rehabilitación</t>
  </si>
  <si>
    <t xml:space="preserve">Media</t>
  </si>
  <si>
    <t xml:space="preserve">Juicios / ejecuciones</t>
  </si>
  <si>
    <t xml:space="preserve">Consulta de juicios fiscales / SCT</t>
  </si>
  <si>
    <t xml:space="preserve">Boletas de deuda, agente fiscal actuante, embargos trabados sobre cuentas.</t>
  </si>
  <si>
    <t xml:space="preserve">Conciliación de juicios y levantamiento de embargos</t>
  </si>
  <si>
    <t xml:space="preserve">IVA</t>
  </si>
  <si>
    <t xml:space="preserve">Portal IVA / Libro de IVA Digital</t>
  </si>
  <si>
    <t xml:space="preserve">Últimos 12 períodos: saldo técnico vs. libre disponibilidad, consistencia débitos vs. facturación emitida.</t>
  </si>
  <si>
    <t xml:space="preserve">Recupero de crédito fiscal no computado</t>
  </si>
  <si>
    <t xml:space="preserve">Facturación</t>
  </si>
  <si>
    <t xml:space="preserve">Comprobantes en línea / Adm. puntos de venta</t>
  </si>
  <si>
    <t xml:space="preserve">Puntos de venta activos, factura electrónica vs. controlador, ¿emite por cada venta web?, talonarios CAI vigentes.</t>
  </si>
  <si>
    <t xml:space="preserve">Integración facturación-tienda online (servicio premium)</t>
  </si>
  <si>
    <t xml:space="preserve">Ret./Perc. sufridas</t>
  </si>
  <si>
    <t xml:space="preserve">Mis Retenciones / SIRE</t>
  </si>
  <si>
    <t xml:space="preserve">Retenciones y percepciones acumuladas de IVA y Ganancias (bancos, MercadoPago, proveedores) no computadas.</t>
  </si>
  <si>
    <t xml:space="preserve">Cómputo/recupero: honorario de éxito sobre lo recuperado</t>
  </si>
  <si>
    <t xml:space="preserve">Ganancias PH</t>
  </si>
  <si>
    <t xml:space="preserve">Ganancias Personas Humanas</t>
  </si>
  <si>
    <t xml:space="preserve">Última DDJJ presentada, anticipos a vencer, ¿corresponde reducción de anticipos?</t>
  </si>
  <si>
    <t xml:space="preserve">Reducción de anticipos = caja para el cliente</t>
  </si>
  <si>
    <t xml:space="preserve">Bienes Personales</t>
  </si>
  <si>
    <t xml:space="preserve">Bienes Personales / REIBP</t>
  </si>
  <si>
    <t xml:space="preserve">Situación frente a BP, mínimo no imponible, ¿adhirió al REIBP?, valuaciones.</t>
  </si>
  <si>
    <t xml:space="preserve">Planificación patrimonial</t>
  </si>
  <si>
    <t xml:space="preserve">Autónomos</t>
  </si>
  <si>
    <t xml:space="preserve">CCMA / Sistema Registral</t>
  </si>
  <si>
    <t xml:space="preserve">Categoría correcta según actividad e ingresos, deuda de aportes, recategorización anual hecha.</t>
  </si>
  <si>
    <t xml:space="preserve">Recategorización + regularización aportes (jubilación)</t>
  </si>
  <si>
    <t xml:space="preserve">Empleados</t>
  </si>
  <si>
    <t xml:space="preserve">Simplificación Registral / F.931 (si tiene)</t>
  </si>
  <si>
    <t xml:space="preserve">Dotación declarada vs. real, F.931 al día, ART vigente, convenio aplicado (Comercio/Camioneros), deudas seg. social.</t>
  </si>
  <si>
    <t xml:space="preserve">Liquidación de sueldos dentro del abono</t>
  </si>
  <si>
    <t xml:space="preserve">Historial monotributo</t>
  </si>
  <si>
    <t xml:space="preserve">Monotributo &gt; constancias históricas</t>
  </si>
  <si>
    <t xml:space="preserve">Si viene de exclusión/renuncia reciente: ¿computó crédito fiscal de transición? ¿quedó deuda del régimen?</t>
  </si>
  <si>
    <t xml:space="preserve">Créditos de transición monotributo→RI olvidados</t>
  </si>
  <si>
    <t xml:space="preserve">IIBB provincial</t>
  </si>
  <si>
    <t xml:space="preserve">DPR Neuquén / Convenio Multilateral (según jurisdicción)</t>
  </si>
  <si>
    <t xml:space="preserve">Inscripción local vs. CM: si vende online a otras provincias corresponde CM. Alícuotas, SIRCREB acumulado, CM05.</t>
  </si>
  <si>
    <t xml:space="preserve">Encuadre correcto evita retenciones bancarias en exceso</t>
  </si>
  <si>
    <t xml:space="preserve">Tasa municipal</t>
  </si>
  <si>
    <t xml:space="preserve">Municipio (habilitación / tasa por inspección)</t>
  </si>
  <si>
    <t xml:space="preserve">Habilitación comercial del depósito/local, tasa al día, base imponible declarada.</t>
  </si>
  <si>
    <t xml:space="preserve">Regularización municipal</t>
  </si>
  <si>
    <t xml:space="preserve">Baja</t>
  </si>
  <si>
    <t xml:space="preserve">Beneficio MiPyME</t>
  </si>
  <si>
    <t xml:space="preserve">Certificado MiPyME (registro)</t>
  </si>
  <si>
    <t xml:space="preserve">¿Tiene certificado vigente? IVA a 90 días, alícuota reducida contribuciones, exclusión retenciones, beneficios crédito.</t>
  </si>
  <si>
    <t xml:space="preserve">Quick win estrella: alivio de caja inmediato y visible</t>
  </si>
  <si>
    <t xml:space="preserve">Fiscalizaciones</t>
  </si>
  <si>
    <t xml:space="preserve">Domicilio Fiscal Electrónico (histórico)</t>
  </si>
  <si>
    <t xml:space="preserve">Requerimientos/intimaciones sin responder, fiscalizaciones electrónicas abiertas, cartas de intimación.</t>
  </si>
  <si>
    <t xml:space="preserve">Defensa y respuesta profesional (fuera de abono)</t>
  </si>
  <si>
    <t xml:space="preserve">IMPACTO TOTAL DETECTADO:</t>
  </si>
  <si>
    <t xml:space="preserve">ANÁLISIS DEL SITIO WEB DESDE LA ÓPTICA DEL ESTUDIO — distribuidoraexpress.com.ar</t>
  </si>
  <si>
    <t xml:space="preserve">Revisar el sitio con esta guía. Cada hallazgo se convierte en un argumento de venta del abono: el estudio no solo liquida impuestos, mejora el negocio.</t>
  </si>
  <si>
    <t xml:space="preserve">Aspecto</t>
  </si>
  <si>
    <t xml:space="preserve">Qué mirar</t>
  </si>
  <si>
    <t xml:space="preserve">Por qué importa (fiscal / gestión)</t>
  </si>
  <si>
    <t xml:space="preserve">Acción propuesta al cliente</t>
  </si>
  <si>
    <t xml:space="preserve">Identidad fiscal visible</t>
  </si>
  <si>
    <t xml:space="preserve">Footer: razón social, CUIT, condición IVA, Formulario 960/D 'Data Fiscal' con QR de ARCA.</t>
  </si>
  <si>
    <t xml:space="preserve">Obligatorio para sitios con venta online; su ausencia es multable y resta confianza de compra.</t>
  </si>
  <si>
    <t xml:space="preserve">Publicar CUIT + QR Data Fiscal en el footer.</t>
  </si>
  <si>
    <t xml:space="preserve">Plataforma de e-commerce</t>
  </si>
  <si>
    <t xml:space="preserve">¿Tienda Nube, WooCommerce, Mercado Shops, desarrollo propio? ¿Carrito real o catálogo?</t>
  </si>
  <si>
    <t xml:space="preserve">Define costos (comisiones deducibles en IVA/Ganancias) y si se puede integrar la facturación automática.</t>
  </si>
  <si>
    <t xml:space="preserve">Cotizar integración factura electrónica automática por venta.</t>
  </si>
  <si>
    <t xml:space="preserve">Medios de pago</t>
  </si>
  <si>
    <t xml:space="preserve">MercadoPago, transferencia, tarjeta, efectivo contra entrega.</t>
  </si>
  <si>
    <t xml:space="preserve">Cada procesador retiene IVA/Ganancias/IIBB (SIRTAC): hay crédito fiscal acumulado que casi nadie computa.</t>
  </si>
  <si>
    <t xml:space="preserve">Auditar retenciones de MP de los últimos 12 meses y computarlas.</t>
  </si>
  <si>
    <t xml:space="preserve">Zonas de envío</t>
  </si>
  <si>
    <t xml:space="preserve">¿Entrega solo en su provincia o a todo el país?</t>
  </si>
  <si>
    <t xml:space="preserve">Venta interjurisdiccional habitual = obligación de Convenio Multilateral en IIBB; mal encuadre genera retenciones bancarias en exceso.</t>
  </si>
  <si>
    <t xml:space="preserve">Verificar encuadre local vs. CM y ajustar.</t>
  </si>
  <si>
    <t xml:space="preserve">Precios exhibidos</t>
  </si>
  <si>
    <t xml:space="preserve">¿IVA incluido (consumidor final) o neto + IVA (mayorista)? ¿Lista B2B separada?</t>
  </si>
  <si>
    <t xml:space="preserve">Exhibición al consumidor debe ser precio final; a RI conviene mostrar neto. Mezclarlo confunde y hace perder margen.</t>
  </si>
  <si>
    <t xml:space="preserve">Separar canal mayorista (con CUIT) del minorista.</t>
  </si>
  <si>
    <t xml:space="preserve">Facturación de cada venta</t>
  </si>
  <si>
    <t xml:space="preserve">¿El checkout pide CUIT/DNI y condición IVA? ¿Emite comprobante automático?</t>
  </si>
  <si>
    <t xml:space="preserve">Ventas web sin factura = riesgo de ajuste por facturación omitida (ARCA cruza pagos electrónicos vs. ventas declaradas).</t>
  </si>
  <si>
    <t xml:space="preserve">Facturar 100% de las ventas online, automatizado.</t>
  </si>
  <si>
    <t xml:space="preserve">Catálogo / rubros</t>
  </si>
  <si>
    <t xml:space="preserve">Rubros que realmente comercializa (almacén, bebidas, limpieza, etc.).</t>
  </si>
  <si>
    <t xml:space="preserve">Deben coincidir con las actividades declaradas en ARCA y con la habilitación municipal.</t>
  </si>
  <si>
    <t xml:space="preserve">Alinear actividades AFIP + habilitación con el catálogo.</t>
  </si>
  <si>
    <t xml:space="preserve">Promociones y descuentos</t>
  </si>
  <si>
    <t xml:space="preserve">Descuentos por cantidad, envío gratis desde $X, promos bancarias.</t>
  </si>
  <si>
    <t xml:space="preserve">Impactan margen; sin tablero de gestión no se sabe si la promo gana o pierde plata.</t>
  </si>
  <si>
    <t xml:space="preserve">Tablero mensual de margen por producto/canal (plan Profesional).</t>
  </si>
  <si>
    <t xml:space="preserve">Canal WhatsApp / redes</t>
  </si>
  <si>
    <t xml:space="preserve">¿Cierra ventas por WhatsApp/Instagram fuera del carrito?</t>
  </si>
  <si>
    <t xml:space="preserve">Ventas informales sin trazabilidad: riesgo fiscal y pérdida de datos de clientes.</t>
  </si>
  <si>
    <t xml:space="preserve">Circuito único de pedidos con comprobante.</t>
  </si>
  <si>
    <t xml:space="preserve">Costos ocultos del canal</t>
  </si>
  <si>
    <t xml:space="preserve">Comisiones plataforma, pasarela, logística, embalaje.</t>
  </si>
  <si>
    <t xml:space="preserve">Todos generan crédito fiscal y gasto deducible si están bien facturados a nombre del negocio.</t>
  </si>
  <si>
    <t xml:space="preserve">Revisar que proveedores facturen al CUIT del negocio.</t>
  </si>
  <si>
    <t xml:space="preserve">Titularidad y dominio</t>
  </si>
  <si>
    <t xml:space="preserve">¿El dominio .com.ar está a nombre del titular? ¿SSL vigente?</t>
  </si>
  <si>
    <t xml:space="preserve">El dominio es un activo; a nombre de terceros es un riesgo comercial.</t>
  </si>
  <si>
    <t xml:space="preserve">Regularizar titularidad en NIC.ar.</t>
  </si>
  <si>
    <t xml:space="preserve">Volumen aparente</t>
  </si>
  <si>
    <t xml:space="preserve">Cantidad de productos, reseñas, seguidores, frecuencia de publicaciones.</t>
  </si>
  <si>
    <t xml:space="preserve">Permite estimar facturación esperable y dimensionar el abono con datos.</t>
  </si>
  <si>
    <t xml:space="preserve">Cruzar volumen aparente vs. ventas declaradas (consistencia).</t>
  </si>
  <si>
    <t xml:space="preserve">CONSTRUCCIÓN DEL ABONO — MOTOR DE PRECIOS Y VALOR</t>
  </si>
  <si>
    <t xml:space="preserve">Parámetros (editar)</t>
  </si>
  <si>
    <t xml:space="preserve">Costo interno por hora del estudio (sueldos + estructura)</t>
  </si>
  <si>
    <t xml:space="preserve">Los importes azules son EJEMPLOS: reemplazalos por tu lista de precios.</t>
  </si>
  <si>
    <t xml:space="preserve">Cantidad de empleados del cliente</t>
  </si>
  <si>
    <t xml:space="preserve">Tip de venta: el IVA de los honorarios no es costo para un RI — se lo computa como crédito fiscal.</t>
  </si>
  <si>
    <t xml:space="preserve">Precio liquidación de sueldo por empleado</t>
  </si>
  <si>
    <t xml:space="preserve">Alícuota IVA sobre honorarios</t>
  </si>
  <si>
    <t xml:space="preserve">Servicio incluido</t>
  </si>
  <si>
    <t xml:space="preserve">Frecuencia</t>
  </si>
  <si>
    <t xml:space="preserve">Valor para el cliente (por qué le conviene)</t>
  </si>
  <si>
    <t xml:space="preserve">Horas/mes</t>
  </si>
  <si>
    <t xml:space="preserve">Costo interno</t>
  </si>
  <si>
    <t xml:space="preserve">Precio lista</t>
  </si>
  <si>
    <t xml:space="preserve">ESENCIAL</t>
  </si>
  <si>
    <t xml:space="preserve">PROFESIONAL</t>
  </si>
  <si>
    <t xml:space="preserve">PREMIUM</t>
  </si>
  <si>
    <t xml:space="preserve">Liquidación y presentación de IVA</t>
  </si>
  <si>
    <t xml:space="preserve">Mensual</t>
  </si>
  <si>
    <t xml:space="preserve">DDJJ siempre al día: evita multas e intereses.</t>
  </si>
  <si>
    <t xml:space="preserve">Ingresos Brutos (DPR / Conv. Multilateral)</t>
  </si>
  <si>
    <t xml:space="preserve">Alícuotas correctas y control de retenciones SIRCREB.</t>
  </si>
  <si>
    <t xml:space="preserve">Libro IVA Digital y control de comprobantes</t>
  </si>
  <si>
    <t xml:space="preserve">Cruce compras/ventas: nada queda sin computar.</t>
  </si>
  <si>
    <t xml:space="preserve">Autónomos: control y recategorización</t>
  </si>
  <si>
    <t xml:space="preserve">Aportes correctos, jubilación protegida.</t>
  </si>
  <si>
    <t xml:space="preserve">Monitoreo DFE, vencimientos e intimaciones</t>
  </si>
  <si>
    <t xml:space="preserve">Ninguna notificación de ARCA sin respuesta a tiempo.</t>
  </si>
  <si>
    <t xml:space="preserve">Sueldos, F.931 y cargas (según dotación)</t>
  </si>
  <si>
    <t xml:space="preserve">Nómina en regla: evita multas laborales carísimas.</t>
  </si>
  <si>
    <t xml:space="preserve">DDJJ Ganancias Personas Humanas (prorrateada)</t>
  </si>
  <si>
    <t xml:space="preserve">Anual</t>
  </si>
  <si>
    <t xml:space="preserve">Sin sorpresas en mayo: anticipos planificados.</t>
  </si>
  <si>
    <t xml:space="preserve">Conciliación MercadoPago / bancos / retenciones</t>
  </si>
  <si>
    <t xml:space="preserve">Recuperás plata que hoy queda retenida de más.</t>
  </si>
  <si>
    <t xml:space="preserve">Tablero de gestión (ventas, margen, caja)</t>
  </si>
  <si>
    <t xml:space="preserve">Números claros para decidir compras y precios.</t>
  </si>
  <si>
    <t xml:space="preserve">Asesoría impositiva por WhatsApp (24-48 h)</t>
  </si>
  <si>
    <t xml:space="preserve">Un contador a un mensaje de distancia.</t>
  </si>
  <si>
    <t xml:space="preserve">Bienes Personales (prorrateada)</t>
  </si>
  <si>
    <t xml:space="preserve">Patrimonio declarado y optimizado.</t>
  </si>
  <si>
    <t xml:space="preserve">Certificado MiPyME: alta y renovación</t>
  </si>
  <si>
    <t xml:space="preserve">IVA a 90 días + menos retenciones = más caja.</t>
  </si>
  <si>
    <t xml:space="preserve">Revisión trimestral de saldos a favor</t>
  </si>
  <si>
    <t xml:space="preserve">Trimestral</t>
  </si>
  <si>
    <t xml:space="preserve">Detección temprana de crédito recuperable.</t>
  </si>
  <si>
    <t xml:space="preserve">Reunión mensual de resultados (45 min)</t>
  </si>
  <si>
    <t xml:space="preserve">Seguimiento como si fuéramos tu gerencia financiera.</t>
  </si>
  <si>
    <t xml:space="preserve">Planificación fiscal anual escrita</t>
  </si>
  <si>
    <t xml:space="preserve">Estrategia para pagar lo justo, con papeles.</t>
  </si>
  <si>
    <t xml:space="preserve">Atención de requerimientos simples de ARCA</t>
  </si>
  <si>
    <t xml:space="preserve">Eventual</t>
  </si>
  <si>
    <t xml:space="preserve">Respuestas profesionales sin costo extra.</t>
  </si>
  <si>
    <t xml:space="preserve">Marcá con 1/0 qué servicio entra en cada plan (columnas H, I, J).</t>
  </si>
  <si>
    <t xml:space="preserve">RESULTADOS POR PLAN</t>
  </si>
  <si>
    <t xml:space="preserve">VALOR DE LISTA mensual (suma de lo incluido)</t>
  </si>
  <si>
    <t xml:space="preserve">COSTO INTERNO mensual (horas del estudio)</t>
  </si>
  <si>
    <t xml:space="preserve">PRECIO DEL ABONO (definir)</t>
  </si>
  <si>
    <t xml:space="preserve">Total con IVA (el RI lo computa como crédito)</t>
  </si>
  <si>
    <t xml:space="preserve">AHORRO $ vs. contratar suelto</t>
  </si>
  <si>
    <t xml:space="preserve">Ahorro %</t>
  </si>
  <si>
    <t xml:space="preserve">MARGEN $ del estudio</t>
  </si>
  <si>
    <t xml:space="preserve">Margen %</t>
  </si>
  <si>
    <t xml:space="preserve">Recomendación: presentar los 3 planes anclando primero PREMIUM; el objetivo de cierre es PROFESIONAL.</t>
  </si>
  <si>
    <t xml:space="preserve">SERVICIOS FUERA DE ABONO (menú adicional — 'qué más podemos obtener')</t>
  </si>
  <si>
    <t xml:space="preserve">Servicio puntual</t>
  </si>
  <si>
    <t xml:space="preserve">Cuándo se dispara</t>
  </si>
  <si>
    <t xml:space="preserve">Precio desde</t>
  </si>
  <si>
    <t xml:space="preserve">Recupero de saldos a favor / percepciones</t>
  </si>
  <si>
    <t xml:space="preserve">Si el diagnóstico detecta crédito acumulado</t>
  </si>
  <si>
    <t xml:space="preserve">20% de lo recuperado (honorario de éxito)</t>
  </si>
  <si>
    <t xml:space="preserve">Armado de plan de facilidades (Mis Facilidades)</t>
  </si>
  <si>
    <t xml:space="preserve">Si hay deuda exigible en CCMA</t>
  </si>
  <si>
    <t xml:space="preserve">Conciliación de juicios de ejecución fiscal</t>
  </si>
  <si>
    <t xml:space="preserve">Si aparecen juicios en SCT</t>
  </si>
  <si>
    <t xml:space="preserve">Defensa en fiscalización / requerimiento complejo</t>
  </si>
  <si>
    <t xml:space="preserve">Si hay fiscalización electrónica abierta</t>
  </si>
  <si>
    <t xml:space="preserve">Certificación de ingresos / manifestación de bienes</t>
  </si>
  <si>
    <t xml:space="preserve">Créditos bancarios, alquileres</t>
  </si>
  <si>
    <t xml:space="preserve">Alta/baja de empleados y contratos</t>
  </si>
  <si>
    <t xml:space="preserve">Cambios de dotación</t>
  </si>
  <si>
    <t xml:space="preserve">Costeo y pricing por producto/canal</t>
  </si>
  <si>
    <t xml:space="preserve">Si el tablero muestra margen débil</t>
  </si>
  <si>
    <t xml:space="preserve">Puesta al día integral (períodos atrasados)</t>
  </si>
  <si>
    <t xml:space="preserve">Si hay DDJJ sin presentar</t>
  </si>
  <si>
    <t xml:space="preserve">Según períodos</t>
  </si>
  <si>
    <t xml:space="preserve">PROPUESTA DE SERVICIOS PROFESIONALES — MATHEU, MARCO (DISTRIBUIDORA EXPRESS)</t>
  </si>
  <si>
    <t xml:space="preserve">Preparada especialmente luego del diagnóstico integral de tu situación fiscal y de tu canal de ventas online.</t>
  </si>
  <si>
    <t xml:space="preserve">1 | LO QUE ENCONTRAMOS (diagnóstico sin cargo — valor real $ ver hoja ABONO)</t>
  </si>
  <si>
    <t xml:space="preserve">• Completar con los 3 hallazgos más fuertes del DIAGNOSTICO (ej.: retenciones acumuladas sin computar).</t>
  </si>
  <si>
    <t xml:space="preserve">• Ej.: tu facturación electrónica no está integrada a la tienda online: doble trabajo y riesgo de multas.</t>
  </si>
  <si>
    <t xml:space="preserve">• Ej.: no tenés certificado MiPyME: estás pagando el IVA 90 días antes de lo necesario.</t>
  </si>
  <si>
    <t xml:space="preserve">2 | QUÉ GANÁS EN LOS PRIMEROS 90 DÍAS (quick wins)</t>
  </si>
  <si>
    <t xml:space="preserve">1. Certificado MiPyME aprobado: IVA a 90 días = alivio de caja inmediato.</t>
  </si>
  <si>
    <t xml:space="preserve">2. Auditoría de retenciones de MercadoPago y bancos: computamos todo lo acumulado.</t>
  </si>
  <si>
    <t xml:space="preserve">3. Encuadre correcto de Ingresos Brutos: dejás de sufrir retenciones en exceso.</t>
  </si>
  <si>
    <t xml:space="preserve">4. Facturación de la tienda online ordenada e integrada.</t>
  </si>
  <si>
    <t xml:space="preserve">3 | TU INVERSIÓN (elegí tu plan)</t>
  </si>
  <si>
    <t xml:space="preserve">PROFESIONAL (recomendado)</t>
  </si>
  <si>
    <t xml:space="preserve">Valor de lista de todo lo incluido</t>
  </si>
  <si>
    <t xml:space="preserve">Tu abono mensual</t>
  </si>
  <si>
    <t xml:space="preserve">Te ahorrás por mes</t>
  </si>
  <si>
    <t xml:space="preserve">Descuento vs. contratar suelto</t>
  </si>
  <si>
    <t xml:space="preserve">El IVA de los honorarios lo computás como crédito fiscal: no es un costo real para tu negocio.</t>
  </si>
  <si>
    <t xml:space="preserve">4 | BONOS POR DECIDIR AHORA</t>
  </si>
  <si>
    <t xml:space="preserve">• Diagnóstico integral ya realizado: SIN CARGO (queda tuyo aunque no avances).</t>
  </si>
  <si>
    <t xml:space="preserve">• Puesta al día de tu encuadre registral (actividades, domicilio, DFE): SIN CARGO en el primer mes.</t>
  </si>
  <si>
    <t xml:space="preserve">• Primer tablero de gestión de tu distribuidora: BONIFICADO el primer mes.</t>
  </si>
  <si>
    <t xml:space="preserve">5 | NUESTRA GARANTÍA</t>
  </si>
  <si>
    <t xml:space="preserve">Si en los primeros 90 días el diagnóstico no identifica beneficios económicos (recuperos, ahorros o contingencias evitadas) por al menos el equivalente a 3 meses de abono, te bonificamos 1 mes completo. El riesgo lo asumimos nosotros.</t>
  </si>
  <si>
    <t xml:space="preserve">6 | CONDICIONES</t>
  </si>
  <si>
    <t xml:space="preserve">• Propuesta válida por 15 días desde su presentación (cupo de 2 incorporaciones por mes para garantizar servicio).</t>
  </si>
  <si>
    <t xml:space="preserve">• Honorarios + IVA, ajuste trimestral por IPC (INDEC). Débito automático del 1 al 10 de cada mes.</t>
  </si>
  <si>
    <t xml:space="preserve">• Servicios puntuales fuera de abono: se cotizan antes de ejecutarse (ver menú en hoja ABONO).</t>
  </si>
  <si>
    <t xml:space="preserve">Siguiente paso: respondé este mensaje o escribinos por WhatsApp y arrancamos con el alta esta misma semana.</t>
  </si>
  <si>
    <t xml:space="preserve">CHECKLIST DE DOCUMENTACIÓN A PEDIR AL CLIENTE</t>
  </si>
  <si>
    <t xml:space="preserve">Documento / acceso</t>
  </si>
  <si>
    <t xml:space="preserve">Para qué lo necesitamos</t>
  </si>
  <si>
    <t xml:space="preserve">Observaciones</t>
  </si>
  <si>
    <t xml:space="preserve">Constancia de inscripción (CUIT) actualizada</t>
  </si>
  <si>
    <t xml:space="preserve">Confirmar impuestos y actividades activas</t>
  </si>
  <si>
    <t xml:space="preserve">PDF que envió el cliente (clasificar: ¿qué documento es?)</t>
  </si>
  <si>
    <t xml:space="preserve">Está en la carpeta Dropbox del cliente — incorporar al diagnóstico</t>
  </si>
  <si>
    <t xml:space="preserve">DDJJ de IVA de los últimos 12 períodos</t>
  </si>
  <si>
    <t xml:space="preserve">Detectar saldos a favor y consistencia</t>
  </si>
  <si>
    <t xml:space="preserve">Última DDJJ de Ganancias y Bienes Personales</t>
  </si>
  <si>
    <t xml:space="preserve">Punto de partida patrimonial</t>
  </si>
  <si>
    <t xml:space="preserve">Extractos bancarios de los últimos 3 meses</t>
  </si>
  <si>
    <t xml:space="preserve">Retenciones SIRCREB y flujo real</t>
  </si>
  <si>
    <t xml:space="preserve">Reporte de retenciones de MercadoPago (Informes &gt; Retenciones)</t>
  </si>
  <si>
    <t xml:space="preserve">Crédito fiscal acumulado a computar</t>
  </si>
  <si>
    <t xml:space="preserve">F.931 y nómina actual (si tiene empleados)</t>
  </si>
  <si>
    <t xml:space="preserve">Dimensionar liquidación de sueldos</t>
  </si>
  <si>
    <t xml:space="preserve">Planes de pago vigentes (Mis Facilidades)</t>
  </si>
  <si>
    <t xml:space="preserve">Evaluar reformulación</t>
  </si>
  <si>
    <t xml:space="preserve">Boletas/DDJJ de Ingresos Brutos últimas 6</t>
  </si>
  <si>
    <t xml:space="preserve">Verificar encuadre local vs. Convenio Multilateral</t>
  </si>
  <si>
    <t xml:space="preserve">Habilitación municipal del local/depósito</t>
  </si>
  <si>
    <t xml:space="preserve">Regularidad de tasas</t>
  </si>
  <si>
    <t xml:space="preserve">Acceso de colaborador a la tienda online (no la contraseña)</t>
  </si>
  <si>
    <t xml:space="preserve">Auditar facturación del canal web</t>
  </si>
  <si>
    <t xml:space="preserve">Sistema de gestión/facturación que usa (Tango, Xubio, etc.)</t>
  </si>
  <si>
    <t xml:space="preserve">Integración contable</t>
  </si>
  <si>
    <t xml:space="preserve">Contrato de alquiler del local/depósito (si alquila)</t>
  </si>
  <si>
    <t xml:space="preserve">Deducciones y sellos</t>
  </si>
  <si>
    <t xml:space="preserve">Datos de contacto: mail y WhatsApp del cliente</t>
  </si>
  <si>
    <t xml:space="preserve">Alta en circuito de comunicación del estudio</t>
  </si>
  <si>
    <t xml:space="preserve">En análisis</t>
  </si>
  <si>
    <t xml:space="preserve">Pedido</t>
  </si>
  <si>
    <t xml:space="preserve">OK</t>
  </si>
  <si>
    <t xml:space="preserve">Recibido</t>
  </si>
  <si>
    <t xml:space="preserve">No aplica</t>
  </si>
  <si>
    <t xml:space="preserve">Crítico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</si>
</sst>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General"/>
    <numFmt numFmtId="166" formatCode="&quot;$ &quot;#,##0;&quot;($ &quot;#,##0\);\-"/>
    <numFmt numFmtId="167" formatCode="#,##0"/>
    <numFmt numFmtId="168" formatCode="0.0%"/>
  </numFmts>
  <fonts count="3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5"/>
      <color rgb="FFFFFFFF"/>
      <name val="Arial"/>
      <family val="0"/>
      <charset val="1"/>
    </font>
    <font>
      <i val="true"/>
      <sz val="10"/>
      <color rgb="FF555555"/>
      <name val="Arial"/>
      <family val="0"/>
      <charset val="1"/>
    </font>
    <font>
      <b val="true"/>
      <sz val="11"/>
      <color rgb="FF1F3864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sz val="10"/>
      <color rgb="FF0000FF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1"/>
      <color rgb="FF808080"/>
      <name val="Arial"/>
      <family val="0"/>
      <charset val="1"/>
    </font>
    <font>
      <b val="true"/>
      <sz val="11"/>
      <color rgb="FF008000"/>
      <name val="Arial"/>
      <family val="0"/>
      <charset val="1"/>
    </font>
    <font>
      <b val="true"/>
      <sz val="11"/>
      <color rgb="FFBF8F00"/>
      <name val="Arial"/>
      <family val="0"/>
      <charset val="1"/>
    </font>
    <font>
      <b val="true"/>
      <sz val="11"/>
      <color rgb="FFC00000"/>
      <name val="Arial"/>
      <family val="0"/>
      <charset val="1"/>
    </font>
    <font>
      <b val="true"/>
      <sz val="10"/>
      <color rgb="FF1F3864"/>
      <name val="Arial"/>
      <family val="0"/>
      <charset val="1"/>
    </font>
    <font>
      <sz val="9"/>
      <color rgb="FF000000"/>
      <name val="Arial"/>
      <family val="0"/>
      <charset val="1"/>
    </font>
    <font>
      <sz val="9"/>
      <color rgb="FF0000FF"/>
      <name val="Arial"/>
      <family val="0"/>
      <charset val="1"/>
    </font>
    <font>
      <sz val="9"/>
      <color rgb="FF008000"/>
      <name val="Arial"/>
      <family val="0"/>
      <charset val="1"/>
    </font>
    <font>
      <i val="true"/>
      <sz val="8"/>
      <color rgb="FF808080"/>
      <name val="Arial"/>
      <family val="0"/>
      <charset val="1"/>
    </font>
    <font>
      <b val="true"/>
      <sz val="12"/>
      <color rgb="FFFFFFFF"/>
      <name val="Arial"/>
      <family val="0"/>
      <charset val="1"/>
    </font>
    <font>
      <i val="true"/>
      <sz val="9"/>
      <color rgb="FF555555"/>
      <name val="Arial"/>
      <family val="0"/>
      <charset val="1"/>
    </font>
    <font>
      <b val="true"/>
      <sz val="9"/>
      <color rgb="FFFFFFFF"/>
      <name val="Arial"/>
      <family val="0"/>
      <charset val="1"/>
    </font>
    <font>
      <i val="true"/>
      <sz val="9"/>
      <color rgb="FF0000FF"/>
      <name val="Arial"/>
      <family val="0"/>
      <charset val="1"/>
    </font>
    <font>
      <b val="true"/>
      <sz val="9"/>
      <color rgb="FF0000FF"/>
      <name val="Arial"/>
      <family val="0"/>
      <charset val="1"/>
    </font>
    <font>
      <sz val="9"/>
      <color rgb="FF555555"/>
      <name val="Arial"/>
      <family val="0"/>
      <charset val="1"/>
    </font>
    <font>
      <b val="true"/>
      <sz val="9"/>
      <color rgb="FF000000"/>
      <name val="Arial"/>
      <family val="0"/>
      <charset val="1"/>
    </font>
    <font>
      <b val="true"/>
      <sz val="10"/>
      <color rgb="FF0000FF"/>
      <name val="Arial"/>
      <family val="0"/>
      <charset val="1"/>
    </font>
    <font>
      <b val="true"/>
      <sz val="13"/>
      <color rgb="FFFFFFFF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color rgb="FF008000"/>
      <name val="Arial"/>
      <family val="0"/>
      <charset val="1"/>
    </font>
    <font>
      <b val="true"/>
      <sz val="10"/>
      <color rgb="FF008000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FFF00"/>
        <bgColor rgb="FFFFFF00"/>
      </patternFill>
    </fill>
    <fill>
      <patternFill patternType="solid">
        <fgColor rgb="FFD6E4F0"/>
        <bgColor rgb="FFC6EFCE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3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5" fillId="3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7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8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9" fillId="2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20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21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22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22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5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1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23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23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23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4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6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5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2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2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26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7" fillId="2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28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29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30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29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0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ont>
        <name val="Arial"/>
        <charset val="1"/>
        <family val="0"/>
        <b val="1"/>
        <color rgb="FF9C0006"/>
        <sz val="9"/>
      </font>
      <fill>
        <patternFill>
          <bgColor rgb="FFF8CBAD"/>
        </patternFill>
      </fill>
    </dxf>
    <dxf>
      <fill>
        <patternFill>
          <bgColor rgb="FFFFE699"/>
        </patternFill>
      </fill>
    </dxf>
    <dxf>
      <fill>
        <patternFill>
          <bgColor rgb="FFC6EFCE"/>
        </patternFill>
      </fill>
    </dxf>
  </dxf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6E4F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699"/>
      <rgbColor rgb="FF99CCFF"/>
      <rgbColor rgb="FFFF99CC"/>
      <rgbColor rgb="FFCC99FF"/>
      <rgbColor rgb="FFF8CBAD"/>
      <rgbColor rgb="FF2E75B6"/>
      <rgbColor rgb="FF33CCCC"/>
      <rgbColor rgb="FF99CC00"/>
      <rgbColor rgb="FFFFC000"/>
      <rgbColor rgb="FFBF8F00"/>
      <rgbColor rgb="FFFF6600"/>
      <rgbColor rgb="FF555555"/>
      <rgbColor rgb="FF7F7F7F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864"/>
    <pageSetUpPr fitToPage="false"/>
  </sheetPr>
  <dimension ref="B2:F42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30"/>
    <col collapsed="false" customWidth="true" hidden="false" outlineLevel="0" max="3" min="3" style="0" width="42"/>
    <col collapsed="false" customWidth="true" hidden="false" outlineLevel="0" max="4" min="4" style="0" width="8"/>
    <col collapsed="false" customWidth="true" hidden="false" outlineLevel="0" max="5" min="5" style="0" width="34"/>
    <col collapsed="false" customWidth="true" hidden="false" outlineLevel="0" max="6" min="6" style="0" width="22"/>
    <col collapsed="false" customWidth="true" hidden="false" outlineLevel="0" max="7" min="7" style="0" width="2"/>
  </cols>
  <sheetData>
    <row r="2" customFormat="false" ht="30" hidden="false" customHeight="true" outlineLevel="0" collapsed="false">
      <c r="B2" s="1" t="s">
        <v>0</v>
      </c>
      <c r="C2" s="1"/>
      <c r="D2" s="1"/>
      <c r="E2" s="1"/>
      <c r="F2" s="1"/>
    </row>
    <row r="3" customFormat="false" ht="15" hidden="false" customHeight="false" outlineLevel="0" collapsed="false">
      <c r="B3" s="2" t="s">
        <v>1</v>
      </c>
      <c r="C3" s="2"/>
      <c r="D3" s="2"/>
      <c r="E3" s="2"/>
      <c r="F3" s="2"/>
    </row>
    <row r="4" customFormat="false" ht="15" hidden="false" customHeight="false" outlineLevel="0" collapsed="false">
      <c r="B4" s="3" t="s">
        <v>2</v>
      </c>
    </row>
    <row r="5" customFormat="false" ht="15" hidden="false" customHeight="false" outlineLevel="0" collapsed="false">
      <c r="B5" s="4" t="s">
        <v>3</v>
      </c>
      <c r="C5" s="5" t="s">
        <v>4</v>
      </c>
    </row>
    <row r="6" customFormat="false" ht="15" hidden="false" customHeight="false" outlineLevel="0" collapsed="false">
      <c r="B6" s="4" t="s">
        <v>5</v>
      </c>
      <c r="C6" s="5" t="s">
        <v>6</v>
      </c>
    </row>
    <row r="7" customFormat="false" ht="15" hidden="false" customHeight="false" outlineLevel="0" collapsed="false">
      <c r="B7" s="4" t="s">
        <v>7</v>
      </c>
      <c r="C7" s="5" t="s">
        <v>8</v>
      </c>
    </row>
    <row r="8" customFormat="false" ht="23.85" hidden="false" customHeight="false" outlineLevel="0" collapsed="false">
      <c r="B8" s="4" t="s">
        <v>9</v>
      </c>
      <c r="C8" s="6" t="s">
        <v>10</v>
      </c>
    </row>
    <row r="9" customFormat="false" ht="15" hidden="false" customHeight="false" outlineLevel="0" collapsed="false">
      <c r="B9" s="4" t="s">
        <v>11</v>
      </c>
      <c r="C9" s="6" t="s">
        <v>12</v>
      </c>
    </row>
    <row r="10" customFormat="false" ht="15" hidden="false" customHeight="false" outlineLevel="0" collapsed="false">
      <c r="B10" s="4" t="s">
        <v>13</v>
      </c>
      <c r="C10" s="6" t="s">
        <v>14</v>
      </c>
    </row>
    <row r="11" customFormat="false" ht="15" hidden="false" customHeight="false" outlineLevel="0" collapsed="false">
      <c r="B11" s="4" t="s">
        <v>15</v>
      </c>
      <c r="C11" s="5" t="s">
        <v>16</v>
      </c>
    </row>
    <row r="12" customFormat="false" ht="15" hidden="false" customHeight="false" outlineLevel="0" collapsed="false">
      <c r="B12" s="4" t="s">
        <v>17</v>
      </c>
      <c r="C12" s="6" t="s">
        <v>18</v>
      </c>
    </row>
    <row r="13" customFormat="false" ht="15" hidden="false" customHeight="false" outlineLevel="0" collapsed="false">
      <c r="B13" s="4" t="s">
        <v>19</v>
      </c>
      <c r="C13" s="5" t="s">
        <v>20</v>
      </c>
    </row>
    <row r="15" customFormat="false" ht="15" hidden="false" customHeight="false" outlineLevel="0" collapsed="false">
      <c r="B15" s="3" t="s">
        <v>21</v>
      </c>
    </row>
    <row r="16" customFormat="false" ht="15" hidden="false" customHeight="false" outlineLevel="0" collapsed="false">
      <c r="B16" s="7" t="s">
        <v>22</v>
      </c>
      <c r="C16" s="8" t="n">
        <f aca="false">COUNTIF(DIAGNOSTICO!$F$4:$F$21,"Pendiente")</f>
        <v>17</v>
      </c>
    </row>
    <row r="17" customFormat="false" ht="15" hidden="false" customHeight="false" outlineLevel="0" collapsed="false">
      <c r="B17" s="7" t="s">
        <v>23</v>
      </c>
      <c r="C17" s="9" t="n">
        <f aca="false">COUNTIF(DIAGNOSTICO!$F$4:$F$21,"OK")</f>
        <v>0</v>
      </c>
    </row>
    <row r="18" customFormat="false" ht="15" hidden="false" customHeight="false" outlineLevel="0" collapsed="false">
      <c r="B18" s="7" t="s">
        <v>24</v>
      </c>
      <c r="C18" s="10" t="n">
        <f aca="false">COUNTIF(DIAGNOSTICO!$F$4:$F$21,"Alerta")</f>
        <v>1</v>
      </c>
    </row>
    <row r="19" customFormat="false" ht="15" hidden="false" customHeight="false" outlineLevel="0" collapsed="false">
      <c r="B19" s="7" t="s">
        <v>25</v>
      </c>
      <c r="C19" s="11" t="n">
        <f aca="false">COUNTIF(DIAGNOSTICO!$F$4:$F$21,"Crítico")</f>
        <v>0</v>
      </c>
    </row>
    <row r="21" customFormat="false" ht="15" hidden="false" customHeight="false" outlineLevel="0" collapsed="false">
      <c r="B21" s="3" t="s">
        <v>26</v>
      </c>
    </row>
    <row r="22" customFormat="false" ht="15" hidden="false" customHeight="false" outlineLevel="0" collapsed="false">
      <c r="B22" s="7" t="s">
        <v>27</v>
      </c>
      <c r="C22" s="12" t="n">
        <f aca="false">ABONO!$I$27</f>
        <v>945000</v>
      </c>
    </row>
    <row r="23" customFormat="false" ht="15" hidden="false" customHeight="false" outlineLevel="0" collapsed="false">
      <c r="B23" s="7" t="s">
        <v>28</v>
      </c>
      <c r="C23" s="12" t="n">
        <f aca="false">ABONO!$I$29</f>
        <v>480000</v>
      </c>
    </row>
    <row r="24" customFormat="false" ht="15" hidden="false" customHeight="false" outlineLevel="0" collapsed="false">
      <c r="B24" s="7" t="s">
        <v>29</v>
      </c>
      <c r="C24" s="12" t="n">
        <f aca="false">ABONO!$I$31</f>
        <v>465000</v>
      </c>
    </row>
    <row r="25" customFormat="false" ht="15" hidden="false" customHeight="false" outlineLevel="0" collapsed="false">
      <c r="B25" s="7" t="s">
        <v>30</v>
      </c>
      <c r="C25" s="12" t="n">
        <f aca="false">ABONO!$I$33</f>
        <v>120000</v>
      </c>
    </row>
    <row r="27" customFormat="false" ht="15" hidden="false" customHeight="false" outlineLevel="0" collapsed="false">
      <c r="B27" s="3" t="s">
        <v>31</v>
      </c>
    </row>
    <row r="28" customFormat="false" ht="15" hidden="false" customHeight="true" outlineLevel="0" collapsed="false">
      <c r="B28" s="13" t="s">
        <v>32</v>
      </c>
      <c r="C28" s="13"/>
      <c r="D28" s="13"/>
      <c r="E28" s="13"/>
      <c r="F28" s="13"/>
    </row>
    <row r="29" customFormat="false" ht="15" hidden="false" customHeight="true" outlineLevel="0" collapsed="false">
      <c r="B29" s="13" t="s">
        <v>33</v>
      </c>
      <c r="C29" s="13"/>
      <c r="D29" s="13"/>
      <c r="E29" s="13"/>
      <c r="F29" s="13"/>
    </row>
    <row r="30" customFormat="false" ht="15" hidden="false" customHeight="true" outlineLevel="0" collapsed="false">
      <c r="B30" s="13" t="s">
        <v>34</v>
      </c>
      <c r="C30" s="13"/>
      <c r="D30" s="13"/>
      <c r="E30" s="13"/>
      <c r="F30" s="13"/>
    </row>
    <row r="31" customFormat="false" ht="15" hidden="false" customHeight="true" outlineLevel="0" collapsed="false">
      <c r="B31" s="13" t="s">
        <v>35</v>
      </c>
      <c r="C31" s="13"/>
      <c r="D31" s="13"/>
      <c r="E31" s="13"/>
      <c r="F31" s="13"/>
    </row>
    <row r="32" customFormat="false" ht="15" hidden="false" customHeight="true" outlineLevel="0" collapsed="false">
      <c r="B32" s="13" t="s">
        <v>36</v>
      </c>
      <c r="C32" s="13"/>
      <c r="D32" s="13"/>
      <c r="E32" s="13"/>
      <c r="F32" s="13"/>
    </row>
    <row r="34" customFormat="false" ht="15" hidden="false" customHeight="false" outlineLevel="0" collapsed="false">
      <c r="B34" s="14" t="s">
        <v>37</v>
      </c>
    </row>
    <row r="35" customFormat="false" ht="15" hidden="false" customHeight="false" outlineLevel="0" collapsed="false">
      <c r="B35" s="15" t="s">
        <v>38</v>
      </c>
      <c r="C35" s="15"/>
      <c r="D35" s="15"/>
      <c r="E35" s="15"/>
      <c r="F35" s="15"/>
    </row>
    <row r="36" customFormat="false" ht="15" hidden="false" customHeight="false" outlineLevel="0" collapsed="false">
      <c r="B36" s="16" t="s">
        <v>39</v>
      </c>
      <c r="C36" s="16"/>
      <c r="D36" s="16"/>
      <c r="E36" s="16"/>
      <c r="F36" s="16"/>
    </row>
    <row r="37" customFormat="false" ht="15" hidden="false" customHeight="false" outlineLevel="0" collapsed="false">
      <c r="B37" s="17" t="s">
        <v>40</v>
      </c>
      <c r="C37" s="17"/>
      <c r="D37" s="17"/>
      <c r="E37" s="17"/>
      <c r="F37" s="17"/>
    </row>
    <row r="38" customFormat="false" ht="15" hidden="false" customHeight="false" outlineLevel="0" collapsed="false">
      <c r="B38" s="18" t="s">
        <v>41</v>
      </c>
      <c r="C38" s="18"/>
      <c r="D38" s="18"/>
      <c r="E38" s="18"/>
      <c r="F38" s="18"/>
    </row>
    <row r="40" customFormat="false" ht="15" hidden="false" customHeight="true" outlineLevel="0" collapsed="false">
      <c r="B40" s="19" t="s">
        <v>42</v>
      </c>
      <c r="C40" s="19"/>
      <c r="D40" s="19"/>
      <c r="E40" s="19"/>
      <c r="F40" s="19"/>
    </row>
    <row r="41" customFormat="false" ht="15" hidden="false" customHeight="false" outlineLevel="0" collapsed="false">
      <c r="B41" s="19"/>
      <c r="C41" s="19"/>
      <c r="D41" s="19"/>
      <c r="E41" s="19"/>
      <c r="F41" s="19"/>
    </row>
    <row r="42" customFormat="false" ht="15" hidden="false" customHeight="false" outlineLevel="0" collapsed="false">
      <c r="B42" s="19"/>
      <c r="C42" s="19"/>
      <c r="D42" s="19"/>
      <c r="E42" s="19"/>
      <c r="F42" s="19"/>
    </row>
  </sheetData>
  <mergeCells count="12">
    <mergeCell ref="B2:F2"/>
    <mergeCell ref="B3:F3"/>
    <mergeCell ref="B28:F28"/>
    <mergeCell ref="B29:F29"/>
    <mergeCell ref="B30:F30"/>
    <mergeCell ref="B31:F31"/>
    <mergeCell ref="B32:F32"/>
    <mergeCell ref="B35:F35"/>
    <mergeCell ref="B36:F36"/>
    <mergeCell ref="B37:F37"/>
    <mergeCell ref="B38:F38"/>
    <mergeCell ref="B40:F4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00000"/>
    <pageSetUpPr fitToPage="false"/>
  </sheetPr>
  <dimension ref="A1:J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20"/>
    <col collapsed="false" customWidth="true" hidden="false" outlineLevel="0" max="3" min="3" style="0" width="26"/>
    <col collapsed="false" customWidth="true" hidden="false" outlineLevel="0" max="4" min="4" style="0" width="46"/>
    <col collapsed="false" customWidth="true" hidden="false" outlineLevel="0" max="5" min="5" style="0" width="30"/>
    <col collapsed="false" customWidth="true" hidden="false" outlineLevel="0" max="6" min="6" style="0" width="12"/>
    <col collapsed="false" customWidth="true" hidden="false" outlineLevel="0" max="7" min="7" style="0" width="34"/>
    <col collapsed="false" customWidth="true" hidden="false" outlineLevel="0" max="8" min="8" style="0" width="14"/>
    <col collapsed="false" customWidth="true" hidden="false" outlineLevel="0" max="9" min="9" style="0" width="30"/>
    <col collapsed="false" customWidth="true" hidden="false" outlineLevel="0" max="10" min="10" style="0" width="9"/>
  </cols>
  <sheetData>
    <row r="1" customFormat="false" ht="25.5" hidden="false" customHeight="true" outlineLevel="0" collapsed="false">
      <c r="A1" s="20" t="s">
        <v>43</v>
      </c>
      <c r="B1" s="20"/>
      <c r="C1" s="20"/>
      <c r="D1" s="20"/>
      <c r="E1" s="20"/>
      <c r="F1" s="20"/>
      <c r="G1" s="20"/>
      <c r="H1" s="20"/>
      <c r="I1" s="20"/>
      <c r="J1" s="20"/>
    </row>
    <row r="2" customFormat="false" ht="24" hidden="false" customHeight="true" outlineLevel="0" collapsed="false">
      <c r="A2" s="21" t="s">
        <v>44</v>
      </c>
      <c r="B2" s="21"/>
      <c r="C2" s="21"/>
      <c r="D2" s="21"/>
      <c r="E2" s="21"/>
      <c r="F2" s="21"/>
      <c r="G2" s="21"/>
      <c r="H2" s="21"/>
      <c r="I2" s="21"/>
      <c r="J2" s="21"/>
    </row>
    <row r="3" customFormat="false" ht="27.75" hidden="false" customHeight="true" outlineLevel="0" collapsed="false">
      <c r="A3" s="22" t="s">
        <v>45</v>
      </c>
      <c r="B3" s="22" t="s">
        <v>46</v>
      </c>
      <c r="C3" s="22" t="s">
        <v>47</v>
      </c>
      <c r="D3" s="22" t="s">
        <v>48</v>
      </c>
      <c r="E3" s="22" t="s">
        <v>49</v>
      </c>
      <c r="F3" s="22" t="s">
        <v>50</v>
      </c>
      <c r="G3" s="22" t="s">
        <v>51</v>
      </c>
      <c r="H3" s="22" t="s">
        <v>52</v>
      </c>
      <c r="I3" s="22" t="s">
        <v>53</v>
      </c>
      <c r="J3" s="22" t="s">
        <v>54</v>
      </c>
    </row>
    <row r="4" customFormat="false" ht="42" hidden="false" customHeight="true" outlineLevel="0" collapsed="false">
      <c r="A4" s="23" t="n">
        <v>1</v>
      </c>
      <c r="B4" s="24" t="s">
        <v>55</v>
      </c>
      <c r="C4" s="24" t="s">
        <v>56</v>
      </c>
      <c r="D4" s="24" t="s">
        <v>57</v>
      </c>
      <c r="E4" s="25" t="s">
        <v>58</v>
      </c>
      <c r="F4" s="25" t="s">
        <v>59</v>
      </c>
      <c r="G4" s="25" t="s">
        <v>60</v>
      </c>
      <c r="H4" s="26" t="n">
        <v>0</v>
      </c>
      <c r="I4" s="24" t="s">
        <v>61</v>
      </c>
      <c r="J4" s="25" t="s">
        <v>62</v>
      </c>
    </row>
    <row r="5" customFormat="false" ht="42" hidden="false" customHeight="true" outlineLevel="0" collapsed="false">
      <c r="A5" s="23" t="n">
        <v>2</v>
      </c>
      <c r="B5" s="24" t="s">
        <v>63</v>
      </c>
      <c r="C5" s="24" t="s">
        <v>64</v>
      </c>
      <c r="D5" s="24" t="s">
        <v>65</v>
      </c>
      <c r="E5" s="27"/>
      <c r="F5" s="27" t="s">
        <v>66</v>
      </c>
      <c r="G5" s="24"/>
      <c r="H5" s="28" t="n">
        <v>0</v>
      </c>
      <c r="I5" s="24" t="s">
        <v>67</v>
      </c>
      <c r="J5" s="24" t="s">
        <v>62</v>
      </c>
    </row>
    <row r="6" customFormat="false" ht="42" hidden="false" customHeight="true" outlineLevel="0" collapsed="false">
      <c r="A6" s="23" t="n">
        <v>3</v>
      </c>
      <c r="B6" s="24" t="s">
        <v>68</v>
      </c>
      <c r="C6" s="24" t="s">
        <v>69</v>
      </c>
      <c r="D6" s="24" t="s">
        <v>70</v>
      </c>
      <c r="E6" s="27"/>
      <c r="F6" s="27" t="s">
        <v>66</v>
      </c>
      <c r="G6" s="24"/>
      <c r="H6" s="28" t="n">
        <v>0</v>
      </c>
      <c r="I6" s="24" t="s">
        <v>71</v>
      </c>
      <c r="J6" s="24" t="s">
        <v>62</v>
      </c>
    </row>
    <row r="7" customFormat="false" ht="42" hidden="false" customHeight="true" outlineLevel="0" collapsed="false">
      <c r="A7" s="23" t="n">
        <v>4</v>
      </c>
      <c r="B7" s="24" t="s">
        <v>72</v>
      </c>
      <c r="C7" s="24" t="s">
        <v>73</v>
      </c>
      <c r="D7" s="24" t="s">
        <v>74</v>
      </c>
      <c r="E7" s="27"/>
      <c r="F7" s="27" t="s">
        <v>66</v>
      </c>
      <c r="G7" s="24"/>
      <c r="H7" s="28" t="n">
        <v>0</v>
      </c>
      <c r="I7" s="24" t="s">
        <v>75</v>
      </c>
      <c r="J7" s="24" t="s">
        <v>62</v>
      </c>
    </row>
    <row r="8" customFormat="false" ht="42" hidden="false" customHeight="true" outlineLevel="0" collapsed="false">
      <c r="A8" s="23" t="n">
        <v>5</v>
      </c>
      <c r="B8" s="24" t="s">
        <v>76</v>
      </c>
      <c r="C8" s="24" t="s">
        <v>77</v>
      </c>
      <c r="D8" s="24" t="s">
        <v>78</v>
      </c>
      <c r="E8" s="27"/>
      <c r="F8" s="27" t="s">
        <v>66</v>
      </c>
      <c r="G8" s="24"/>
      <c r="H8" s="28" t="n">
        <v>0</v>
      </c>
      <c r="I8" s="24" t="s">
        <v>79</v>
      </c>
      <c r="J8" s="24" t="s">
        <v>80</v>
      </c>
    </row>
    <row r="9" customFormat="false" ht="42" hidden="false" customHeight="true" outlineLevel="0" collapsed="false">
      <c r="A9" s="23" t="n">
        <v>6</v>
      </c>
      <c r="B9" s="24" t="s">
        <v>81</v>
      </c>
      <c r="C9" s="24" t="s">
        <v>82</v>
      </c>
      <c r="D9" s="24" t="s">
        <v>83</v>
      </c>
      <c r="E9" s="27"/>
      <c r="F9" s="27" t="s">
        <v>66</v>
      </c>
      <c r="G9" s="24"/>
      <c r="H9" s="28" t="n">
        <v>0</v>
      </c>
      <c r="I9" s="24" t="s">
        <v>84</v>
      </c>
      <c r="J9" s="24" t="s">
        <v>62</v>
      </c>
    </row>
    <row r="10" customFormat="false" ht="42" hidden="false" customHeight="true" outlineLevel="0" collapsed="false">
      <c r="A10" s="23" t="n">
        <v>7</v>
      </c>
      <c r="B10" s="24" t="s">
        <v>85</v>
      </c>
      <c r="C10" s="24" t="s">
        <v>86</v>
      </c>
      <c r="D10" s="24" t="s">
        <v>87</v>
      </c>
      <c r="E10" s="27"/>
      <c r="F10" s="27" t="s">
        <v>66</v>
      </c>
      <c r="G10" s="24"/>
      <c r="H10" s="28" t="n">
        <v>0</v>
      </c>
      <c r="I10" s="24" t="s">
        <v>88</v>
      </c>
      <c r="J10" s="24" t="s">
        <v>62</v>
      </c>
    </row>
    <row r="11" customFormat="false" ht="42" hidden="false" customHeight="true" outlineLevel="0" collapsed="false">
      <c r="A11" s="23" t="n">
        <v>8</v>
      </c>
      <c r="B11" s="24" t="s">
        <v>89</v>
      </c>
      <c r="C11" s="24" t="s">
        <v>90</v>
      </c>
      <c r="D11" s="24" t="s">
        <v>91</v>
      </c>
      <c r="E11" s="27"/>
      <c r="F11" s="27" t="s">
        <v>66</v>
      </c>
      <c r="G11" s="24"/>
      <c r="H11" s="28" t="n">
        <v>0</v>
      </c>
      <c r="I11" s="24" t="s">
        <v>92</v>
      </c>
      <c r="J11" s="24" t="s">
        <v>62</v>
      </c>
    </row>
    <row r="12" customFormat="false" ht="42" hidden="false" customHeight="true" outlineLevel="0" collapsed="false">
      <c r="A12" s="23" t="n">
        <v>9</v>
      </c>
      <c r="B12" s="24" t="s">
        <v>93</v>
      </c>
      <c r="C12" s="24" t="s">
        <v>94</v>
      </c>
      <c r="D12" s="24" t="s">
        <v>95</v>
      </c>
      <c r="E12" s="27"/>
      <c r="F12" s="27" t="s">
        <v>66</v>
      </c>
      <c r="G12" s="24"/>
      <c r="H12" s="28" t="n">
        <v>0</v>
      </c>
      <c r="I12" s="24" t="s">
        <v>96</v>
      </c>
      <c r="J12" s="24" t="s">
        <v>62</v>
      </c>
    </row>
    <row r="13" customFormat="false" ht="42" hidden="false" customHeight="true" outlineLevel="0" collapsed="false">
      <c r="A13" s="23" t="n">
        <v>10</v>
      </c>
      <c r="B13" s="24" t="s">
        <v>97</v>
      </c>
      <c r="C13" s="24" t="s">
        <v>98</v>
      </c>
      <c r="D13" s="24" t="s">
        <v>99</v>
      </c>
      <c r="E13" s="27"/>
      <c r="F13" s="27" t="s">
        <v>66</v>
      </c>
      <c r="G13" s="24"/>
      <c r="H13" s="28" t="n">
        <v>0</v>
      </c>
      <c r="I13" s="24" t="s">
        <v>100</v>
      </c>
      <c r="J13" s="24" t="s">
        <v>80</v>
      </c>
    </row>
    <row r="14" customFormat="false" ht="42" hidden="false" customHeight="true" outlineLevel="0" collapsed="false">
      <c r="A14" s="23" t="n">
        <v>11</v>
      </c>
      <c r="B14" s="24" t="s">
        <v>101</v>
      </c>
      <c r="C14" s="24" t="s">
        <v>102</v>
      </c>
      <c r="D14" s="24" t="s">
        <v>103</v>
      </c>
      <c r="E14" s="27"/>
      <c r="F14" s="27" t="s">
        <v>66</v>
      </c>
      <c r="G14" s="24"/>
      <c r="H14" s="28" t="n">
        <v>0</v>
      </c>
      <c r="I14" s="24" t="s">
        <v>104</v>
      </c>
      <c r="J14" s="24" t="s">
        <v>80</v>
      </c>
    </row>
    <row r="15" customFormat="false" ht="42" hidden="false" customHeight="true" outlineLevel="0" collapsed="false">
      <c r="A15" s="23" t="n">
        <v>12</v>
      </c>
      <c r="B15" s="24" t="s">
        <v>105</v>
      </c>
      <c r="C15" s="24" t="s">
        <v>106</v>
      </c>
      <c r="D15" s="24" t="s">
        <v>107</v>
      </c>
      <c r="E15" s="27"/>
      <c r="F15" s="27" t="s">
        <v>66</v>
      </c>
      <c r="G15" s="24"/>
      <c r="H15" s="28" t="n">
        <v>0</v>
      </c>
      <c r="I15" s="24" t="s">
        <v>108</v>
      </c>
      <c r="J15" s="24" t="s">
        <v>80</v>
      </c>
    </row>
    <row r="16" customFormat="false" ht="42" hidden="false" customHeight="true" outlineLevel="0" collapsed="false">
      <c r="A16" s="23" t="n">
        <v>13</v>
      </c>
      <c r="B16" s="24" t="s">
        <v>109</v>
      </c>
      <c r="C16" s="24" t="s">
        <v>110</v>
      </c>
      <c r="D16" s="24" t="s">
        <v>111</v>
      </c>
      <c r="E16" s="27"/>
      <c r="F16" s="27" t="s">
        <v>66</v>
      </c>
      <c r="G16" s="24"/>
      <c r="H16" s="28" t="n">
        <v>0</v>
      </c>
      <c r="I16" s="24" t="s">
        <v>112</v>
      </c>
      <c r="J16" s="24" t="s">
        <v>62</v>
      </c>
    </row>
    <row r="17" customFormat="false" ht="42" hidden="false" customHeight="true" outlineLevel="0" collapsed="false">
      <c r="A17" s="23" t="n">
        <v>14</v>
      </c>
      <c r="B17" s="24" t="s">
        <v>113</v>
      </c>
      <c r="C17" s="24" t="s">
        <v>114</v>
      </c>
      <c r="D17" s="24" t="s">
        <v>115</v>
      </c>
      <c r="E17" s="27"/>
      <c r="F17" s="27" t="s">
        <v>66</v>
      </c>
      <c r="G17" s="24"/>
      <c r="H17" s="28" t="n">
        <v>0</v>
      </c>
      <c r="I17" s="24" t="s">
        <v>116</v>
      </c>
      <c r="J17" s="24" t="s">
        <v>80</v>
      </c>
    </row>
    <row r="18" customFormat="false" ht="42" hidden="false" customHeight="true" outlineLevel="0" collapsed="false">
      <c r="A18" s="23" t="n">
        <v>15</v>
      </c>
      <c r="B18" s="24" t="s">
        <v>117</v>
      </c>
      <c r="C18" s="24" t="s">
        <v>118</v>
      </c>
      <c r="D18" s="24" t="s">
        <v>119</v>
      </c>
      <c r="E18" s="27"/>
      <c r="F18" s="27" t="s">
        <v>66</v>
      </c>
      <c r="G18" s="24"/>
      <c r="H18" s="28" t="n">
        <v>0</v>
      </c>
      <c r="I18" s="24" t="s">
        <v>120</v>
      </c>
      <c r="J18" s="24" t="s">
        <v>62</v>
      </c>
    </row>
    <row r="19" customFormat="false" ht="42" hidden="false" customHeight="true" outlineLevel="0" collapsed="false">
      <c r="A19" s="23" t="n">
        <v>16</v>
      </c>
      <c r="B19" s="24" t="s">
        <v>121</v>
      </c>
      <c r="C19" s="24" t="s">
        <v>122</v>
      </c>
      <c r="D19" s="24" t="s">
        <v>123</v>
      </c>
      <c r="E19" s="27"/>
      <c r="F19" s="27" t="s">
        <v>66</v>
      </c>
      <c r="G19" s="24"/>
      <c r="H19" s="28" t="n">
        <v>0</v>
      </c>
      <c r="I19" s="24" t="s">
        <v>124</v>
      </c>
      <c r="J19" s="24" t="s">
        <v>125</v>
      </c>
    </row>
    <row r="20" customFormat="false" ht="42" hidden="false" customHeight="true" outlineLevel="0" collapsed="false">
      <c r="A20" s="23" t="n">
        <v>17</v>
      </c>
      <c r="B20" s="24" t="s">
        <v>126</v>
      </c>
      <c r="C20" s="24" t="s">
        <v>127</v>
      </c>
      <c r="D20" s="24" t="s">
        <v>128</v>
      </c>
      <c r="E20" s="27"/>
      <c r="F20" s="27" t="s">
        <v>66</v>
      </c>
      <c r="G20" s="24"/>
      <c r="H20" s="28" t="n">
        <v>0</v>
      </c>
      <c r="I20" s="24" t="s">
        <v>129</v>
      </c>
      <c r="J20" s="24" t="s">
        <v>62</v>
      </c>
    </row>
    <row r="21" customFormat="false" ht="42" hidden="false" customHeight="true" outlineLevel="0" collapsed="false">
      <c r="A21" s="23" t="n">
        <v>18</v>
      </c>
      <c r="B21" s="24" t="s">
        <v>130</v>
      </c>
      <c r="C21" s="24" t="s">
        <v>131</v>
      </c>
      <c r="D21" s="24" t="s">
        <v>132</v>
      </c>
      <c r="E21" s="27"/>
      <c r="F21" s="27" t="s">
        <v>66</v>
      </c>
      <c r="G21" s="24"/>
      <c r="H21" s="28" t="n">
        <v>0</v>
      </c>
      <c r="I21" s="24" t="s">
        <v>133</v>
      </c>
      <c r="J21" s="24" t="s">
        <v>62</v>
      </c>
    </row>
    <row r="22" customFormat="false" ht="15" hidden="false" customHeight="false" outlineLevel="0" collapsed="false">
      <c r="G22" s="29" t="s">
        <v>134</v>
      </c>
      <c r="H22" s="30" t="n">
        <f aca="false">SUM(H4:H21)</f>
        <v>0</v>
      </c>
    </row>
  </sheetData>
  <mergeCells count="2">
    <mergeCell ref="A1:J1"/>
    <mergeCell ref="A2:J2"/>
  </mergeCells>
  <conditionalFormatting sqref="A4:J21">
    <cfRule type="expression" priority="2" aboveAverage="0" equalAverage="0" bottom="0" percent="0" rank="0" text="" dxfId="0">
      <formula>$F4="Crítico"</formula>
    </cfRule>
    <cfRule type="expression" priority="3" aboveAverage="0" equalAverage="0" bottom="0" percent="0" rank="0" text="" dxfId="1">
      <formula>$F4="Alerta"</formula>
    </cfRule>
    <cfRule type="expression" priority="4" aboveAverage="0" equalAverage="0" bottom="0" percent="0" rank="0" text="" dxfId="2">
      <formula>$F4="OK"</formula>
    </cfRule>
  </conditionalFormatting>
  <dataValidations count="2">
    <dataValidation allowBlank="true" errorStyle="stop" operator="between" showDropDown="false" showErrorMessage="false" showInputMessage="false" sqref="F4:F21" type="list">
      <formula1>LISTAS!$A$1:$A$5</formula1>
      <formula2>0</formula2>
    </dataValidation>
    <dataValidation allowBlank="true" errorStyle="stop" operator="between" showDropDown="false" showErrorMessage="false" showInputMessage="false" sqref="J4:J21" type="list">
      <formula1>LISTAS!$B$1:$B$3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E75B6"/>
    <pageSetUpPr fitToPage="false"/>
  </sheetPr>
  <dimension ref="A1:G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26"/>
    <col collapsed="false" customWidth="true" hidden="false" outlineLevel="0" max="3" min="3" style="0" width="42"/>
    <col collapsed="false" customWidth="true" hidden="false" outlineLevel="0" max="4" min="4" style="0" width="46"/>
    <col collapsed="false" customWidth="true" hidden="false" outlineLevel="0" max="6" min="5" style="0" width="34"/>
    <col collapsed="false" customWidth="true" hidden="false" outlineLevel="0" max="7" min="7" style="0" width="12"/>
  </cols>
  <sheetData>
    <row r="1" customFormat="false" ht="25.5" hidden="false" customHeight="true" outlineLevel="0" collapsed="false">
      <c r="A1" s="20" t="s">
        <v>135</v>
      </c>
      <c r="B1" s="20"/>
      <c r="C1" s="20"/>
      <c r="D1" s="20"/>
      <c r="E1" s="20"/>
      <c r="F1" s="20"/>
      <c r="G1" s="20"/>
    </row>
    <row r="2" customFormat="false" ht="15" hidden="false" customHeight="true" outlineLevel="0" collapsed="false">
      <c r="A2" s="21" t="s">
        <v>136</v>
      </c>
      <c r="B2" s="21"/>
      <c r="C2" s="21"/>
      <c r="D2" s="21"/>
      <c r="E2" s="21"/>
      <c r="F2" s="21"/>
      <c r="G2" s="21"/>
    </row>
    <row r="3" customFormat="false" ht="27.75" hidden="false" customHeight="true" outlineLevel="0" collapsed="false">
      <c r="A3" s="22" t="s">
        <v>45</v>
      </c>
      <c r="B3" s="22" t="s">
        <v>137</v>
      </c>
      <c r="C3" s="22" t="s">
        <v>138</v>
      </c>
      <c r="D3" s="22" t="s">
        <v>139</v>
      </c>
      <c r="E3" s="22" t="s">
        <v>49</v>
      </c>
      <c r="F3" s="22" t="s">
        <v>140</v>
      </c>
      <c r="G3" s="22" t="s">
        <v>50</v>
      </c>
    </row>
    <row r="4" customFormat="false" ht="39.75" hidden="false" customHeight="true" outlineLevel="0" collapsed="false">
      <c r="A4" s="23" t="n">
        <v>1</v>
      </c>
      <c r="B4" s="24" t="s">
        <v>141</v>
      </c>
      <c r="C4" s="24" t="s">
        <v>142</v>
      </c>
      <c r="D4" s="24" t="s">
        <v>143</v>
      </c>
      <c r="E4" s="27"/>
      <c r="F4" s="24" t="s">
        <v>144</v>
      </c>
      <c r="G4" s="24" t="s">
        <v>66</v>
      </c>
    </row>
    <row r="5" customFormat="false" ht="39.75" hidden="false" customHeight="true" outlineLevel="0" collapsed="false">
      <c r="A5" s="23" t="n">
        <v>2</v>
      </c>
      <c r="B5" s="24" t="s">
        <v>145</v>
      </c>
      <c r="C5" s="24" t="s">
        <v>146</v>
      </c>
      <c r="D5" s="24" t="s">
        <v>147</v>
      </c>
      <c r="E5" s="27"/>
      <c r="F5" s="24" t="s">
        <v>148</v>
      </c>
      <c r="G5" s="24" t="s">
        <v>66</v>
      </c>
    </row>
    <row r="6" customFormat="false" ht="39.75" hidden="false" customHeight="true" outlineLevel="0" collapsed="false">
      <c r="A6" s="23" t="n">
        <v>3</v>
      </c>
      <c r="B6" s="24" t="s">
        <v>149</v>
      </c>
      <c r="C6" s="24" t="s">
        <v>150</v>
      </c>
      <c r="D6" s="24" t="s">
        <v>151</v>
      </c>
      <c r="E6" s="27"/>
      <c r="F6" s="24" t="s">
        <v>152</v>
      </c>
      <c r="G6" s="24" t="s">
        <v>66</v>
      </c>
    </row>
    <row r="7" customFormat="false" ht="39.75" hidden="false" customHeight="true" outlineLevel="0" collapsed="false">
      <c r="A7" s="23" t="n">
        <v>4</v>
      </c>
      <c r="B7" s="24" t="s">
        <v>153</v>
      </c>
      <c r="C7" s="24" t="s">
        <v>154</v>
      </c>
      <c r="D7" s="24" t="s">
        <v>155</v>
      </c>
      <c r="E7" s="27"/>
      <c r="F7" s="24" t="s">
        <v>156</v>
      </c>
      <c r="G7" s="24" t="s">
        <v>66</v>
      </c>
    </row>
    <row r="8" customFormat="false" ht="39.75" hidden="false" customHeight="true" outlineLevel="0" collapsed="false">
      <c r="A8" s="23" t="n">
        <v>5</v>
      </c>
      <c r="B8" s="24" t="s">
        <v>157</v>
      </c>
      <c r="C8" s="24" t="s">
        <v>158</v>
      </c>
      <c r="D8" s="24" t="s">
        <v>159</v>
      </c>
      <c r="E8" s="27"/>
      <c r="F8" s="24" t="s">
        <v>160</v>
      </c>
      <c r="G8" s="24" t="s">
        <v>66</v>
      </c>
    </row>
    <row r="9" customFormat="false" ht="39.75" hidden="false" customHeight="true" outlineLevel="0" collapsed="false">
      <c r="A9" s="23" t="n">
        <v>6</v>
      </c>
      <c r="B9" s="24" t="s">
        <v>161</v>
      </c>
      <c r="C9" s="24" t="s">
        <v>162</v>
      </c>
      <c r="D9" s="24" t="s">
        <v>163</v>
      </c>
      <c r="E9" s="27"/>
      <c r="F9" s="24" t="s">
        <v>164</v>
      </c>
      <c r="G9" s="24" t="s">
        <v>66</v>
      </c>
    </row>
    <row r="10" customFormat="false" ht="39.75" hidden="false" customHeight="true" outlineLevel="0" collapsed="false">
      <c r="A10" s="23" t="n">
        <v>7</v>
      </c>
      <c r="B10" s="24" t="s">
        <v>165</v>
      </c>
      <c r="C10" s="24" t="s">
        <v>166</v>
      </c>
      <c r="D10" s="24" t="s">
        <v>167</v>
      </c>
      <c r="E10" s="27"/>
      <c r="F10" s="24" t="s">
        <v>168</v>
      </c>
      <c r="G10" s="24" t="s">
        <v>66</v>
      </c>
    </row>
    <row r="11" customFormat="false" ht="39.75" hidden="false" customHeight="true" outlineLevel="0" collapsed="false">
      <c r="A11" s="23" t="n">
        <v>8</v>
      </c>
      <c r="B11" s="24" t="s">
        <v>169</v>
      </c>
      <c r="C11" s="24" t="s">
        <v>170</v>
      </c>
      <c r="D11" s="24" t="s">
        <v>171</v>
      </c>
      <c r="E11" s="27"/>
      <c r="F11" s="24" t="s">
        <v>172</v>
      </c>
      <c r="G11" s="24" t="s">
        <v>66</v>
      </c>
    </row>
    <row r="12" customFormat="false" ht="39.75" hidden="false" customHeight="true" outlineLevel="0" collapsed="false">
      <c r="A12" s="23" t="n">
        <v>9</v>
      </c>
      <c r="B12" s="24" t="s">
        <v>173</v>
      </c>
      <c r="C12" s="24" t="s">
        <v>174</v>
      </c>
      <c r="D12" s="24" t="s">
        <v>175</v>
      </c>
      <c r="E12" s="27"/>
      <c r="F12" s="24" t="s">
        <v>176</v>
      </c>
      <c r="G12" s="24" t="s">
        <v>66</v>
      </c>
    </row>
    <row r="13" customFormat="false" ht="39.75" hidden="false" customHeight="true" outlineLevel="0" collapsed="false">
      <c r="A13" s="23" t="n">
        <v>10</v>
      </c>
      <c r="B13" s="24" t="s">
        <v>177</v>
      </c>
      <c r="C13" s="24" t="s">
        <v>178</v>
      </c>
      <c r="D13" s="24" t="s">
        <v>179</v>
      </c>
      <c r="E13" s="27"/>
      <c r="F13" s="24" t="s">
        <v>180</v>
      </c>
      <c r="G13" s="24" t="s">
        <v>66</v>
      </c>
    </row>
    <row r="14" customFormat="false" ht="39.75" hidden="false" customHeight="true" outlineLevel="0" collapsed="false">
      <c r="A14" s="23" t="n">
        <v>11</v>
      </c>
      <c r="B14" s="24" t="s">
        <v>181</v>
      </c>
      <c r="C14" s="24" t="s">
        <v>182</v>
      </c>
      <c r="D14" s="24" t="s">
        <v>183</v>
      </c>
      <c r="E14" s="27"/>
      <c r="F14" s="24" t="s">
        <v>184</v>
      </c>
      <c r="G14" s="24" t="s">
        <v>66</v>
      </c>
    </row>
    <row r="15" customFormat="false" ht="39.75" hidden="false" customHeight="true" outlineLevel="0" collapsed="false">
      <c r="A15" s="23" t="n">
        <v>12</v>
      </c>
      <c r="B15" s="24" t="s">
        <v>185</v>
      </c>
      <c r="C15" s="24" t="s">
        <v>186</v>
      </c>
      <c r="D15" s="24" t="s">
        <v>187</v>
      </c>
      <c r="E15" s="27"/>
      <c r="F15" s="24" t="s">
        <v>188</v>
      </c>
      <c r="G15" s="24" t="s">
        <v>66</v>
      </c>
    </row>
  </sheetData>
  <mergeCells count="2">
    <mergeCell ref="A1:G1"/>
    <mergeCell ref="A2:G2"/>
  </mergeCells>
  <conditionalFormatting sqref="A4:G15">
    <cfRule type="expression" priority="2" aboveAverage="0" equalAverage="0" bottom="0" percent="0" rank="0" text="" dxfId="0">
      <formula>$G4="Crítico"</formula>
    </cfRule>
    <cfRule type="expression" priority="3" aboveAverage="0" equalAverage="0" bottom="0" percent="0" rank="0" text="" dxfId="1">
      <formula>$G4="Alerta"</formula>
    </cfRule>
    <cfRule type="expression" priority="4" aboveAverage="0" equalAverage="0" bottom="0" percent="0" rank="0" text="" dxfId="2">
      <formula>$G4="OK"</formula>
    </cfRule>
  </conditionalFormatting>
  <dataValidations count="1">
    <dataValidation allowBlank="true" errorStyle="stop" operator="between" showDropDown="false" showErrorMessage="false" showInputMessage="false" sqref="G4:G15" type="list">
      <formula1>LISTAS!$A$1:$A$5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08000"/>
    <pageSetUpPr fitToPage="false"/>
  </sheetPr>
  <dimension ref="A1:J4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8" topLeftCell="A9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44"/>
    <col collapsed="false" customWidth="true" hidden="false" outlineLevel="0" max="3" min="3" style="0" width="12"/>
    <col collapsed="false" customWidth="true" hidden="false" outlineLevel="0" max="4" min="4" style="0" width="40"/>
    <col collapsed="false" customWidth="true" hidden="false" outlineLevel="0" max="5" min="5" style="0" width="10"/>
    <col collapsed="false" customWidth="true" hidden="false" outlineLevel="0" max="7" min="6" style="0" width="14"/>
    <col collapsed="false" customWidth="true" hidden="false" outlineLevel="0" max="10" min="8" style="0" width="13"/>
  </cols>
  <sheetData>
    <row r="1" customFormat="false" ht="25.5" hidden="false" customHeight="true" outlineLevel="0" collapsed="false">
      <c r="A1" s="20" t="s">
        <v>189</v>
      </c>
      <c r="B1" s="20"/>
      <c r="C1" s="20"/>
      <c r="D1" s="20"/>
      <c r="E1" s="20"/>
      <c r="F1" s="20"/>
      <c r="G1" s="20"/>
      <c r="H1" s="20"/>
      <c r="I1" s="20"/>
      <c r="J1" s="20"/>
    </row>
    <row r="3" customFormat="false" ht="15" hidden="false" customHeight="false" outlineLevel="0" collapsed="false">
      <c r="B3" s="14" t="s">
        <v>190</v>
      </c>
    </row>
    <row r="4" customFormat="false" ht="15" hidden="false" customHeight="false" outlineLevel="0" collapsed="false">
      <c r="B4" s="31" t="s">
        <v>191</v>
      </c>
      <c r="C4" s="32" t="n">
        <v>15000</v>
      </c>
      <c r="D4" s="33" t="s">
        <v>192</v>
      </c>
    </row>
    <row r="5" customFormat="false" ht="15" hidden="false" customHeight="false" outlineLevel="0" collapsed="false">
      <c r="B5" s="31" t="s">
        <v>193</v>
      </c>
      <c r="C5" s="34" t="n">
        <v>2</v>
      </c>
      <c r="D5" s="33" t="s">
        <v>194</v>
      </c>
    </row>
    <row r="6" customFormat="false" ht="15" hidden="false" customHeight="false" outlineLevel="0" collapsed="false">
      <c r="B6" s="31" t="s">
        <v>195</v>
      </c>
      <c r="C6" s="32" t="n">
        <v>35000</v>
      </c>
    </row>
    <row r="7" customFormat="false" ht="15" hidden="false" customHeight="false" outlineLevel="0" collapsed="false">
      <c r="B7" s="31" t="s">
        <v>196</v>
      </c>
      <c r="C7" s="35" t="n">
        <v>0.21</v>
      </c>
    </row>
    <row r="8" customFormat="false" ht="27.75" hidden="false" customHeight="true" outlineLevel="0" collapsed="false">
      <c r="A8" s="22" t="s">
        <v>45</v>
      </c>
      <c r="B8" s="22" t="s">
        <v>197</v>
      </c>
      <c r="C8" s="22" t="s">
        <v>198</v>
      </c>
      <c r="D8" s="22" t="s">
        <v>199</v>
      </c>
      <c r="E8" s="22" t="s">
        <v>200</v>
      </c>
      <c r="F8" s="22" t="s">
        <v>201</v>
      </c>
      <c r="G8" s="22" t="s">
        <v>202</v>
      </c>
      <c r="H8" s="22" t="s">
        <v>203</v>
      </c>
      <c r="I8" s="22" t="s">
        <v>204</v>
      </c>
      <c r="J8" s="22" t="s">
        <v>205</v>
      </c>
    </row>
    <row r="9" customFormat="false" ht="25.5" hidden="false" customHeight="true" outlineLevel="0" collapsed="false">
      <c r="A9" s="23" t="n">
        <v>1</v>
      </c>
      <c r="B9" s="31" t="s">
        <v>206</v>
      </c>
      <c r="C9" s="31" t="s">
        <v>207</v>
      </c>
      <c r="D9" s="36" t="s">
        <v>208</v>
      </c>
      <c r="E9" s="37" t="n">
        <v>3</v>
      </c>
      <c r="F9" s="38" t="n">
        <f aca="false">E9*$C$4</f>
        <v>45000</v>
      </c>
      <c r="G9" s="39" t="n">
        <v>150000</v>
      </c>
      <c r="H9" s="40" t="n">
        <v>1</v>
      </c>
      <c r="I9" s="40" t="n">
        <v>1</v>
      </c>
      <c r="J9" s="40" t="n">
        <v>1</v>
      </c>
    </row>
    <row r="10" customFormat="false" ht="25.5" hidden="false" customHeight="true" outlineLevel="0" collapsed="false">
      <c r="A10" s="23" t="n">
        <v>2</v>
      </c>
      <c r="B10" s="31" t="s">
        <v>209</v>
      </c>
      <c r="C10" s="31" t="s">
        <v>207</v>
      </c>
      <c r="D10" s="36" t="s">
        <v>210</v>
      </c>
      <c r="E10" s="37" t="n">
        <v>2</v>
      </c>
      <c r="F10" s="38" t="n">
        <f aca="false">E10*$C$4</f>
        <v>30000</v>
      </c>
      <c r="G10" s="39" t="n">
        <v>80000</v>
      </c>
      <c r="H10" s="40" t="n">
        <v>1</v>
      </c>
      <c r="I10" s="40" t="n">
        <v>1</v>
      </c>
      <c r="J10" s="40" t="n">
        <v>1</v>
      </c>
    </row>
    <row r="11" customFormat="false" ht="25.5" hidden="false" customHeight="true" outlineLevel="0" collapsed="false">
      <c r="A11" s="23" t="n">
        <v>3</v>
      </c>
      <c r="B11" s="31" t="s">
        <v>211</v>
      </c>
      <c r="C11" s="31" t="s">
        <v>207</v>
      </c>
      <c r="D11" s="36" t="s">
        <v>212</v>
      </c>
      <c r="E11" s="37" t="n">
        <v>2</v>
      </c>
      <c r="F11" s="38" t="n">
        <f aca="false">E11*$C$4</f>
        <v>30000</v>
      </c>
      <c r="G11" s="39" t="n">
        <v>70000</v>
      </c>
      <c r="H11" s="40" t="n">
        <v>1</v>
      </c>
      <c r="I11" s="40" t="n">
        <v>1</v>
      </c>
      <c r="J11" s="40" t="n">
        <v>1</v>
      </c>
    </row>
    <row r="12" customFormat="false" ht="25.5" hidden="false" customHeight="true" outlineLevel="0" collapsed="false">
      <c r="A12" s="23" t="n">
        <v>4</v>
      </c>
      <c r="B12" s="31" t="s">
        <v>213</v>
      </c>
      <c r="C12" s="31" t="s">
        <v>207</v>
      </c>
      <c r="D12" s="36" t="s">
        <v>214</v>
      </c>
      <c r="E12" s="37" t="n">
        <v>0.5</v>
      </c>
      <c r="F12" s="38" t="n">
        <f aca="false">E12*$C$4</f>
        <v>7500</v>
      </c>
      <c r="G12" s="39" t="n">
        <v>20000</v>
      </c>
      <c r="H12" s="40" t="n">
        <v>1</v>
      </c>
      <c r="I12" s="40" t="n">
        <v>1</v>
      </c>
      <c r="J12" s="40" t="n">
        <v>1</v>
      </c>
    </row>
    <row r="13" customFormat="false" ht="25.5" hidden="false" customHeight="true" outlineLevel="0" collapsed="false">
      <c r="A13" s="23" t="n">
        <v>5</v>
      </c>
      <c r="B13" s="31" t="s">
        <v>215</v>
      </c>
      <c r="C13" s="31" t="s">
        <v>207</v>
      </c>
      <c r="D13" s="36" t="s">
        <v>216</v>
      </c>
      <c r="E13" s="37" t="n">
        <v>1</v>
      </c>
      <c r="F13" s="38" t="n">
        <f aca="false">E13*$C$4</f>
        <v>15000</v>
      </c>
      <c r="G13" s="39" t="n">
        <v>40000</v>
      </c>
      <c r="H13" s="40" t="n">
        <v>1</v>
      </c>
      <c r="I13" s="40" t="n">
        <v>1</v>
      </c>
      <c r="J13" s="40" t="n">
        <v>1</v>
      </c>
    </row>
    <row r="14" customFormat="false" ht="25.5" hidden="false" customHeight="true" outlineLevel="0" collapsed="false">
      <c r="A14" s="23" t="n">
        <v>6</v>
      </c>
      <c r="B14" s="31" t="s">
        <v>217</v>
      </c>
      <c r="C14" s="31" t="s">
        <v>207</v>
      </c>
      <c r="D14" s="36" t="s">
        <v>218</v>
      </c>
      <c r="E14" s="31" t="n">
        <f aca="false">1*$C$5</f>
        <v>2</v>
      </c>
      <c r="F14" s="38" t="n">
        <f aca="false">E14*$C$4</f>
        <v>30000</v>
      </c>
      <c r="G14" s="38" t="n">
        <f aca="false">$C$5*$C$6</f>
        <v>70000</v>
      </c>
      <c r="H14" s="40" t="n">
        <v>1</v>
      </c>
      <c r="I14" s="40" t="n">
        <v>1</v>
      </c>
      <c r="J14" s="40" t="n">
        <v>1</v>
      </c>
    </row>
    <row r="15" customFormat="false" ht="25.5" hidden="false" customHeight="true" outlineLevel="0" collapsed="false">
      <c r="A15" s="23" t="n">
        <v>7</v>
      </c>
      <c r="B15" s="31" t="s">
        <v>219</v>
      </c>
      <c r="C15" s="31" t="s">
        <v>220</v>
      </c>
      <c r="D15" s="36" t="s">
        <v>221</v>
      </c>
      <c r="E15" s="37" t="n">
        <v>2</v>
      </c>
      <c r="F15" s="38" t="n">
        <f aca="false">E15*$C$4</f>
        <v>30000</v>
      </c>
      <c r="G15" s="39" t="n">
        <v>60000</v>
      </c>
      <c r="H15" s="40" t="n">
        <v>1</v>
      </c>
      <c r="I15" s="40" t="n">
        <v>1</v>
      </c>
      <c r="J15" s="40" t="n">
        <v>1</v>
      </c>
    </row>
    <row r="16" customFormat="false" ht="25.5" hidden="false" customHeight="true" outlineLevel="0" collapsed="false">
      <c r="A16" s="23" t="n">
        <v>8</v>
      </c>
      <c r="B16" s="31" t="s">
        <v>222</v>
      </c>
      <c r="C16" s="31" t="s">
        <v>207</v>
      </c>
      <c r="D16" s="36" t="s">
        <v>223</v>
      </c>
      <c r="E16" s="37" t="n">
        <v>3</v>
      </c>
      <c r="F16" s="38" t="n">
        <f aca="false">E16*$C$4</f>
        <v>45000</v>
      </c>
      <c r="G16" s="39" t="n">
        <v>120000</v>
      </c>
      <c r="H16" s="40" t="n">
        <v>0</v>
      </c>
      <c r="I16" s="40" t="n">
        <v>1</v>
      </c>
      <c r="J16" s="40" t="n">
        <v>1</v>
      </c>
    </row>
    <row r="17" customFormat="false" ht="25.5" hidden="false" customHeight="true" outlineLevel="0" collapsed="false">
      <c r="A17" s="23" t="n">
        <v>9</v>
      </c>
      <c r="B17" s="31" t="s">
        <v>224</v>
      </c>
      <c r="C17" s="31" t="s">
        <v>207</v>
      </c>
      <c r="D17" s="36" t="s">
        <v>225</v>
      </c>
      <c r="E17" s="37" t="n">
        <v>4</v>
      </c>
      <c r="F17" s="38" t="n">
        <f aca="false">E17*$C$4</f>
        <v>60000</v>
      </c>
      <c r="G17" s="39" t="n">
        <v>150000</v>
      </c>
      <c r="H17" s="40" t="n">
        <v>0</v>
      </c>
      <c r="I17" s="40" t="n">
        <v>1</v>
      </c>
      <c r="J17" s="40" t="n">
        <v>1</v>
      </c>
    </row>
    <row r="18" customFormat="false" ht="25.5" hidden="false" customHeight="true" outlineLevel="0" collapsed="false">
      <c r="A18" s="23" t="n">
        <v>10</v>
      </c>
      <c r="B18" s="31" t="s">
        <v>226</v>
      </c>
      <c r="C18" s="31" t="s">
        <v>207</v>
      </c>
      <c r="D18" s="36" t="s">
        <v>227</v>
      </c>
      <c r="E18" s="37" t="n">
        <v>2</v>
      </c>
      <c r="F18" s="38" t="n">
        <f aca="false">E18*$C$4</f>
        <v>30000</v>
      </c>
      <c r="G18" s="39" t="n">
        <v>80000</v>
      </c>
      <c r="H18" s="40" t="n">
        <v>0</v>
      </c>
      <c r="I18" s="40" t="n">
        <v>1</v>
      </c>
      <c r="J18" s="40" t="n">
        <v>1</v>
      </c>
    </row>
    <row r="19" customFormat="false" ht="25.5" hidden="false" customHeight="true" outlineLevel="0" collapsed="false">
      <c r="A19" s="23" t="n">
        <v>11</v>
      </c>
      <c r="B19" s="31" t="s">
        <v>228</v>
      </c>
      <c r="C19" s="31" t="s">
        <v>220</v>
      </c>
      <c r="D19" s="36" t="s">
        <v>229</v>
      </c>
      <c r="E19" s="37" t="n">
        <v>1</v>
      </c>
      <c r="F19" s="38" t="n">
        <f aca="false">E19*$C$4</f>
        <v>15000</v>
      </c>
      <c r="G19" s="39" t="n">
        <v>35000</v>
      </c>
      <c r="H19" s="40" t="n">
        <v>0</v>
      </c>
      <c r="I19" s="40" t="n">
        <v>1</v>
      </c>
      <c r="J19" s="40" t="n">
        <v>1</v>
      </c>
    </row>
    <row r="20" customFormat="false" ht="25.5" hidden="false" customHeight="true" outlineLevel="0" collapsed="false">
      <c r="A20" s="23" t="n">
        <v>12</v>
      </c>
      <c r="B20" s="31" t="s">
        <v>230</v>
      </c>
      <c r="C20" s="31" t="s">
        <v>220</v>
      </c>
      <c r="D20" s="36" t="s">
        <v>231</v>
      </c>
      <c r="E20" s="37" t="n">
        <v>0.5</v>
      </c>
      <c r="F20" s="38" t="n">
        <f aca="false">E20*$C$4</f>
        <v>7500</v>
      </c>
      <c r="G20" s="39" t="n">
        <v>25000</v>
      </c>
      <c r="H20" s="40" t="n">
        <v>0</v>
      </c>
      <c r="I20" s="40" t="n">
        <v>1</v>
      </c>
      <c r="J20" s="40" t="n">
        <v>1</v>
      </c>
    </row>
    <row r="21" customFormat="false" ht="25.5" hidden="false" customHeight="true" outlineLevel="0" collapsed="false">
      <c r="A21" s="23" t="n">
        <v>13</v>
      </c>
      <c r="B21" s="31" t="s">
        <v>232</v>
      </c>
      <c r="C21" s="31" t="s">
        <v>233</v>
      </c>
      <c r="D21" s="36" t="s">
        <v>234</v>
      </c>
      <c r="E21" s="37" t="n">
        <v>1</v>
      </c>
      <c r="F21" s="38" t="n">
        <f aca="false">E21*$C$4</f>
        <v>15000</v>
      </c>
      <c r="G21" s="39" t="n">
        <v>45000</v>
      </c>
      <c r="H21" s="40" t="n">
        <v>0</v>
      </c>
      <c r="I21" s="40" t="n">
        <v>1</v>
      </c>
      <c r="J21" s="40" t="n">
        <v>1</v>
      </c>
    </row>
    <row r="22" customFormat="false" ht="25.5" hidden="false" customHeight="true" outlineLevel="0" collapsed="false">
      <c r="A22" s="23" t="n">
        <v>14</v>
      </c>
      <c r="B22" s="31" t="s">
        <v>235</v>
      </c>
      <c r="C22" s="31" t="s">
        <v>207</v>
      </c>
      <c r="D22" s="36" t="s">
        <v>236</v>
      </c>
      <c r="E22" s="37" t="n">
        <v>1</v>
      </c>
      <c r="F22" s="38" t="n">
        <f aca="false">E22*$C$4</f>
        <v>15000</v>
      </c>
      <c r="G22" s="39" t="n">
        <v>60000</v>
      </c>
      <c r="H22" s="40" t="n">
        <v>0</v>
      </c>
      <c r="I22" s="40" t="n">
        <v>0</v>
      </c>
      <c r="J22" s="40" t="n">
        <v>1</v>
      </c>
    </row>
    <row r="23" customFormat="false" ht="25.5" hidden="false" customHeight="true" outlineLevel="0" collapsed="false">
      <c r="A23" s="23" t="n">
        <v>15</v>
      </c>
      <c r="B23" s="31" t="s">
        <v>237</v>
      </c>
      <c r="C23" s="31" t="s">
        <v>220</v>
      </c>
      <c r="D23" s="36" t="s">
        <v>238</v>
      </c>
      <c r="E23" s="37" t="n">
        <v>2</v>
      </c>
      <c r="F23" s="38" t="n">
        <f aca="false">E23*$C$4</f>
        <v>30000</v>
      </c>
      <c r="G23" s="39" t="n">
        <v>70000</v>
      </c>
      <c r="H23" s="40" t="n">
        <v>0</v>
      </c>
      <c r="I23" s="40" t="n">
        <v>0</v>
      </c>
      <c r="J23" s="40" t="n">
        <v>1</v>
      </c>
    </row>
    <row r="24" customFormat="false" ht="25.5" hidden="false" customHeight="true" outlineLevel="0" collapsed="false">
      <c r="A24" s="23" t="n">
        <v>16</v>
      </c>
      <c r="B24" s="31" t="s">
        <v>239</v>
      </c>
      <c r="C24" s="31" t="s">
        <v>240</v>
      </c>
      <c r="D24" s="36" t="s">
        <v>241</v>
      </c>
      <c r="E24" s="37" t="n">
        <v>1</v>
      </c>
      <c r="F24" s="38" t="n">
        <f aca="false">E24*$C$4</f>
        <v>15000</v>
      </c>
      <c r="G24" s="39" t="n">
        <v>50000</v>
      </c>
      <c r="H24" s="40" t="n">
        <v>0</v>
      </c>
      <c r="I24" s="40" t="n">
        <v>0</v>
      </c>
      <c r="J24" s="40" t="n">
        <v>1</v>
      </c>
    </row>
    <row r="25" customFormat="false" ht="15" hidden="false" customHeight="false" outlineLevel="0" collapsed="false">
      <c r="B25" s="33" t="s">
        <v>242</v>
      </c>
    </row>
    <row r="26" customFormat="false" ht="15" hidden="false" customHeight="false" outlineLevel="0" collapsed="false">
      <c r="B26" s="14" t="s">
        <v>243</v>
      </c>
      <c r="H26" s="41" t="s">
        <v>203</v>
      </c>
      <c r="I26" s="41" t="s">
        <v>204</v>
      </c>
      <c r="J26" s="41" t="s">
        <v>205</v>
      </c>
    </row>
    <row r="27" customFormat="false" ht="15" hidden="false" customHeight="false" outlineLevel="0" collapsed="false">
      <c r="B27" s="42" t="s">
        <v>244</v>
      </c>
      <c r="H27" s="43" t="n">
        <f aca="false">SUMPRODUCT($G$9:$G$24,H$9:H$24)</f>
        <v>490000</v>
      </c>
      <c r="I27" s="43" t="n">
        <f aca="false">SUMPRODUCT($G$9:$G$24,I$9:I$24)</f>
        <v>945000</v>
      </c>
      <c r="J27" s="43" t="n">
        <f aca="false">SUMPRODUCT($G$9:$G$24,J$9:J$24)</f>
        <v>1125000</v>
      </c>
    </row>
    <row r="28" customFormat="false" ht="15" hidden="false" customHeight="false" outlineLevel="0" collapsed="false">
      <c r="B28" s="31" t="s">
        <v>245</v>
      </c>
      <c r="H28" s="38" t="n">
        <f aca="false">SUMPRODUCT($F$9:$F$24,H$9:H$24)</f>
        <v>187500</v>
      </c>
      <c r="I28" s="38" t="n">
        <f aca="false">SUMPRODUCT($F$9:$F$24,I$9:I$24)</f>
        <v>360000</v>
      </c>
      <c r="J28" s="38" t="n">
        <f aca="false">SUMPRODUCT($F$9:$F$24,J$9:J$24)</f>
        <v>420000</v>
      </c>
    </row>
    <row r="29" customFormat="false" ht="15" hidden="false" customHeight="false" outlineLevel="0" collapsed="false">
      <c r="B29" s="42" t="s">
        <v>246</v>
      </c>
      <c r="H29" s="44" t="n">
        <v>280000</v>
      </c>
      <c r="I29" s="44" t="n">
        <v>480000</v>
      </c>
      <c r="J29" s="44" t="n">
        <v>680000</v>
      </c>
    </row>
    <row r="30" customFormat="false" ht="15" hidden="false" customHeight="false" outlineLevel="0" collapsed="false">
      <c r="B30" s="31" t="s">
        <v>247</v>
      </c>
      <c r="H30" s="38" t="n">
        <f aca="false">(H29)*(1+$C$7)</f>
        <v>338800</v>
      </c>
      <c r="I30" s="38" t="n">
        <f aca="false">(I29)*(1+$C$7)</f>
        <v>580800</v>
      </c>
      <c r="J30" s="38" t="n">
        <f aca="false">(J29)*(1+$C$7)</f>
        <v>822800</v>
      </c>
    </row>
    <row r="31" customFormat="false" ht="15" hidden="false" customHeight="false" outlineLevel="0" collapsed="false">
      <c r="B31" s="42" t="s">
        <v>248</v>
      </c>
      <c r="H31" s="43" t="n">
        <f aca="false">(H27)-(H29)</f>
        <v>210000</v>
      </c>
      <c r="I31" s="43" t="n">
        <f aca="false">(I27)-(I29)</f>
        <v>465000</v>
      </c>
      <c r="J31" s="43" t="n">
        <f aca="false">(J27)-(J29)</f>
        <v>445000</v>
      </c>
    </row>
    <row r="32" customFormat="false" ht="15" hidden="false" customHeight="false" outlineLevel="0" collapsed="false">
      <c r="B32" s="31" t="s">
        <v>249</v>
      </c>
      <c r="H32" s="45" t="n">
        <f aca="false">IFERROR(1-(H29)/(H27),0)</f>
        <v>0.428571428571429</v>
      </c>
      <c r="I32" s="45" t="n">
        <f aca="false">IFERROR(1-(I29)/(I27),0)</f>
        <v>0.492063492063492</v>
      </c>
      <c r="J32" s="45" t="n">
        <f aca="false">IFERROR(1-(J29)/(J27),0)</f>
        <v>0.395555555555556</v>
      </c>
    </row>
    <row r="33" customFormat="false" ht="15" hidden="false" customHeight="false" outlineLevel="0" collapsed="false">
      <c r="B33" s="42" t="s">
        <v>250</v>
      </c>
      <c r="H33" s="43" t="n">
        <f aca="false">(H29)-(H28)</f>
        <v>92500</v>
      </c>
      <c r="I33" s="43" t="n">
        <f aca="false">(I29)-(I28)</f>
        <v>120000</v>
      </c>
      <c r="J33" s="43" t="n">
        <f aca="false">(J29)-(J28)</f>
        <v>260000</v>
      </c>
    </row>
    <row r="34" customFormat="false" ht="15" hidden="false" customHeight="false" outlineLevel="0" collapsed="false">
      <c r="B34" s="31" t="s">
        <v>251</v>
      </c>
      <c r="H34" s="45" t="n">
        <f aca="false">IFERROR(((H29)-(H28))/(H29),0)</f>
        <v>0.330357142857143</v>
      </c>
      <c r="I34" s="45" t="n">
        <f aca="false">IFERROR(((I29)-(I28))/(I29),0)</f>
        <v>0.25</v>
      </c>
      <c r="J34" s="45" t="n">
        <f aca="false">IFERROR(((J29)-(J28))/(J29),0)</f>
        <v>0.382352941176471</v>
      </c>
    </row>
    <row r="35" customFormat="false" ht="15" hidden="false" customHeight="false" outlineLevel="0" collapsed="false">
      <c r="B35" s="33" t="s">
        <v>252</v>
      </c>
    </row>
    <row r="37" customFormat="false" ht="15" hidden="false" customHeight="false" outlineLevel="0" collapsed="false">
      <c r="B37" s="14" t="s">
        <v>253</v>
      </c>
    </row>
    <row r="38" customFormat="false" ht="19.5" hidden="false" customHeight="true" outlineLevel="0" collapsed="false">
      <c r="A38" s="22"/>
      <c r="B38" s="22" t="s">
        <v>254</v>
      </c>
      <c r="C38" s="22"/>
      <c r="D38" s="22" t="s">
        <v>255</v>
      </c>
      <c r="E38" s="22"/>
      <c r="F38" s="22"/>
      <c r="G38" s="22" t="s">
        <v>256</v>
      </c>
      <c r="H38" s="22"/>
      <c r="I38" s="22"/>
      <c r="J38" s="22"/>
    </row>
    <row r="39" customFormat="false" ht="15" hidden="false" customHeight="false" outlineLevel="0" collapsed="false">
      <c r="B39" s="31" t="s">
        <v>257</v>
      </c>
      <c r="C39" s="31"/>
      <c r="D39" s="46" t="s">
        <v>258</v>
      </c>
      <c r="E39" s="46"/>
      <c r="F39" s="46"/>
      <c r="G39" s="37" t="s">
        <v>259</v>
      </c>
      <c r="H39" s="37"/>
    </row>
    <row r="40" customFormat="false" ht="15" hidden="false" customHeight="false" outlineLevel="0" collapsed="false">
      <c r="B40" s="31" t="s">
        <v>260</v>
      </c>
      <c r="C40" s="31"/>
      <c r="D40" s="46" t="s">
        <v>261</v>
      </c>
      <c r="E40" s="46"/>
      <c r="F40" s="46"/>
      <c r="G40" s="39" t="n">
        <v>90000</v>
      </c>
      <c r="H40" s="39"/>
    </row>
    <row r="41" customFormat="false" ht="15" hidden="false" customHeight="false" outlineLevel="0" collapsed="false">
      <c r="B41" s="31" t="s">
        <v>262</v>
      </c>
      <c r="C41" s="31"/>
      <c r="D41" s="46" t="s">
        <v>263</v>
      </c>
      <c r="E41" s="46"/>
      <c r="F41" s="46"/>
      <c r="G41" s="39" t="n">
        <v>300000</v>
      </c>
      <c r="H41" s="39"/>
    </row>
    <row r="42" customFormat="false" ht="15" hidden="false" customHeight="false" outlineLevel="0" collapsed="false">
      <c r="B42" s="31" t="s">
        <v>264</v>
      </c>
      <c r="C42" s="31"/>
      <c r="D42" s="46" t="s">
        <v>265</v>
      </c>
      <c r="E42" s="46"/>
      <c r="F42" s="46"/>
      <c r="G42" s="39" t="n">
        <v>350000</v>
      </c>
      <c r="H42" s="39"/>
    </row>
    <row r="43" customFormat="false" ht="15" hidden="false" customHeight="false" outlineLevel="0" collapsed="false">
      <c r="B43" s="31" t="s">
        <v>266</v>
      </c>
      <c r="C43" s="31"/>
      <c r="D43" s="46" t="s">
        <v>267</v>
      </c>
      <c r="E43" s="46"/>
      <c r="F43" s="46"/>
      <c r="G43" s="39" t="n">
        <v>130000</v>
      </c>
      <c r="H43" s="39"/>
    </row>
    <row r="44" customFormat="false" ht="15" hidden="false" customHeight="false" outlineLevel="0" collapsed="false">
      <c r="B44" s="31" t="s">
        <v>268</v>
      </c>
      <c r="C44" s="31"/>
      <c r="D44" s="46" t="s">
        <v>269</v>
      </c>
      <c r="E44" s="46"/>
      <c r="F44" s="46"/>
      <c r="G44" s="39" t="n">
        <v>40000</v>
      </c>
      <c r="H44" s="39"/>
    </row>
    <row r="45" customFormat="false" ht="15" hidden="false" customHeight="false" outlineLevel="0" collapsed="false">
      <c r="B45" s="31" t="s">
        <v>270</v>
      </c>
      <c r="C45" s="31"/>
      <c r="D45" s="46" t="s">
        <v>271</v>
      </c>
      <c r="E45" s="46"/>
      <c r="F45" s="46"/>
      <c r="G45" s="39" t="n">
        <v>280000</v>
      </c>
      <c r="H45" s="39"/>
    </row>
    <row r="46" customFormat="false" ht="15" hidden="false" customHeight="false" outlineLevel="0" collapsed="false">
      <c r="B46" s="31" t="s">
        <v>272</v>
      </c>
      <c r="C46" s="31"/>
      <c r="D46" s="46" t="s">
        <v>273</v>
      </c>
      <c r="E46" s="46"/>
      <c r="F46" s="46"/>
      <c r="G46" s="37" t="s">
        <v>274</v>
      </c>
      <c r="H46" s="37"/>
    </row>
  </sheetData>
  <mergeCells count="25">
    <mergeCell ref="A1:J1"/>
    <mergeCell ref="B39:C39"/>
    <mergeCell ref="D39:F39"/>
    <mergeCell ref="G39:H39"/>
    <mergeCell ref="B40:C40"/>
    <mergeCell ref="D40:F40"/>
    <mergeCell ref="G40:H40"/>
    <mergeCell ref="B41:C41"/>
    <mergeCell ref="D41:F41"/>
    <mergeCell ref="G41:H41"/>
    <mergeCell ref="B42:C42"/>
    <mergeCell ref="D42:F42"/>
    <mergeCell ref="G42:H42"/>
    <mergeCell ref="B43:C43"/>
    <mergeCell ref="D43:F43"/>
    <mergeCell ref="G43:H43"/>
    <mergeCell ref="B44:C44"/>
    <mergeCell ref="D44:F44"/>
    <mergeCell ref="G44:H44"/>
    <mergeCell ref="B45:C45"/>
    <mergeCell ref="D45:F45"/>
    <mergeCell ref="G45:H45"/>
    <mergeCell ref="B46:C46"/>
    <mergeCell ref="D46:F46"/>
    <mergeCell ref="G46:H4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C000"/>
    <pageSetUpPr fitToPage="false"/>
  </sheetPr>
  <dimension ref="B2:F3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6"/>
    <col collapsed="false" customWidth="true" hidden="false" outlineLevel="0" max="3" min="3" style="0" width="60"/>
    <col collapsed="false" customWidth="true" hidden="false" outlineLevel="0" max="6" min="4" style="0" width="20"/>
    <col collapsed="false" customWidth="true" hidden="false" outlineLevel="0" max="7" min="7" style="0" width="3"/>
  </cols>
  <sheetData>
    <row r="2" customFormat="false" ht="30" hidden="false" customHeight="true" outlineLevel="0" collapsed="false">
      <c r="B2" s="47" t="s">
        <v>275</v>
      </c>
      <c r="C2" s="47"/>
      <c r="D2" s="47"/>
      <c r="E2" s="47"/>
      <c r="F2" s="47"/>
    </row>
    <row r="3" customFormat="false" ht="15" hidden="false" customHeight="false" outlineLevel="0" collapsed="false">
      <c r="B3" s="2" t="s">
        <v>276</v>
      </c>
      <c r="C3" s="2"/>
      <c r="D3" s="2"/>
      <c r="E3" s="2"/>
      <c r="F3" s="2"/>
    </row>
    <row r="5" customFormat="false" ht="19.5" hidden="false" customHeight="true" outlineLevel="0" collapsed="false">
      <c r="B5" s="48" t="s">
        <v>277</v>
      </c>
      <c r="C5" s="48"/>
      <c r="D5" s="48"/>
      <c r="E5" s="48"/>
      <c r="F5" s="48"/>
    </row>
    <row r="6" customFormat="false" ht="24" hidden="false" customHeight="true" outlineLevel="0" collapsed="false">
      <c r="B6" s="49" t="s">
        <v>278</v>
      </c>
      <c r="C6" s="49"/>
      <c r="D6" s="49"/>
      <c r="E6" s="49"/>
      <c r="F6" s="49"/>
    </row>
    <row r="7" customFormat="false" ht="24" hidden="false" customHeight="true" outlineLevel="0" collapsed="false">
      <c r="B7" s="49" t="s">
        <v>279</v>
      </c>
      <c r="C7" s="49"/>
      <c r="D7" s="49"/>
      <c r="E7" s="49"/>
      <c r="F7" s="49"/>
    </row>
    <row r="8" customFormat="false" ht="24" hidden="false" customHeight="true" outlineLevel="0" collapsed="false">
      <c r="B8" s="49" t="s">
        <v>280</v>
      </c>
      <c r="C8" s="49"/>
      <c r="D8" s="49"/>
      <c r="E8" s="49"/>
      <c r="F8" s="49"/>
    </row>
    <row r="10" customFormat="false" ht="19.5" hidden="false" customHeight="true" outlineLevel="0" collapsed="false">
      <c r="B10" s="48" t="s">
        <v>281</v>
      </c>
      <c r="C10" s="48"/>
      <c r="D10" s="48"/>
      <c r="E10" s="48"/>
      <c r="F10" s="48"/>
    </row>
    <row r="11" customFormat="false" ht="15" hidden="false" customHeight="true" outlineLevel="0" collapsed="false">
      <c r="B11" s="13" t="s">
        <v>282</v>
      </c>
      <c r="C11" s="13"/>
      <c r="D11" s="13"/>
      <c r="E11" s="13"/>
      <c r="F11" s="13"/>
    </row>
    <row r="12" customFormat="false" ht="15" hidden="false" customHeight="true" outlineLevel="0" collapsed="false">
      <c r="B12" s="13" t="s">
        <v>283</v>
      </c>
      <c r="C12" s="13"/>
      <c r="D12" s="13"/>
      <c r="E12" s="13"/>
      <c r="F12" s="13"/>
    </row>
    <row r="13" customFormat="false" ht="15" hidden="false" customHeight="true" outlineLevel="0" collapsed="false">
      <c r="B13" s="13" t="s">
        <v>284</v>
      </c>
      <c r="C13" s="13"/>
      <c r="D13" s="13"/>
      <c r="E13" s="13"/>
      <c r="F13" s="13"/>
    </row>
    <row r="14" customFormat="false" ht="15" hidden="false" customHeight="true" outlineLevel="0" collapsed="false">
      <c r="B14" s="13" t="s">
        <v>285</v>
      </c>
      <c r="C14" s="13"/>
      <c r="D14" s="13"/>
      <c r="E14" s="13"/>
      <c r="F14" s="13"/>
    </row>
    <row r="16" customFormat="false" ht="19.5" hidden="false" customHeight="true" outlineLevel="0" collapsed="false">
      <c r="B16" s="48" t="s">
        <v>286</v>
      </c>
      <c r="C16" s="48"/>
      <c r="D16" s="48"/>
      <c r="E16" s="48"/>
      <c r="F16" s="48"/>
    </row>
    <row r="17" customFormat="false" ht="23.85" hidden="false" customHeight="false" outlineLevel="0" collapsed="false">
      <c r="C17" s="50"/>
      <c r="D17" s="51" t="s">
        <v>203</v>
      </c>
      <c r="E17" s="51" t="s">
        <v>287</v>
      </c>
      <c r="F17" s="51" t="s">
        <v>205</v>
      </c>
    </row>
    <row r="18" customFormat="false" ht="15" hidden="false" customHeight="false" outlineLevel="0" collapsed="false">
      <c r="C18" s="7" t="s">
        <v>288</v>
      </c>
      <c r="D18" s="52" t="n">
        <f aca="false">ABONO!H27</f>
        <v>490000</v>
      </c>
      <c r="E18" s="52" t="n">
        <f aca="false">ABONO!I27</f>
        <v>945000</v>
      </c>
      <c r="F18" s="52" t="n">
        <f aca="false">ABONO!J27</f>
        <v>1125000</v>
      </c>
    </row>
    <row r="19" customFormat="false" ht="15" hidden="false" customHeight="false" outlineLevel="0" collapsed="false">
      <c r="C19" s="4" t="s">
        <v>289</v>
      </c>
      <c r="D19" s="53" t="n">
        <f aca="false">ABONO!H29</f>
        <v>280000</v>
      </c>
      <c r="E19" s="53" t="n">
        <f aca="false">ABONO!I29</f>
        <v>480000</v>
      </c>
      <c r="F19" s="53" t="n">
        <f aca="false">ABONO!J29</f>
        <v>680000</v>
      </c>
    </row>
    <row r="20" customFormat="false" ht="15" hidden="false" customHeight="false" outlineLevel="0" collapsed="false">
      <c r="C20" s="7" t="s">
        <v>290</v>
      </c>
      <c r="D20" s="52" t="n">
        <f aca="false">ABONO!H31</f>
        <v>210000</v>
      </c>
      <c r="E20" s="52" t="n">
        <f aca="false">ABONO!I31</f>
        <v>465000</v>
      </c>
      <c r="F20" s="52" t="n">
        <f aca="false">ABONO!J31</f>
        <v>445000</v>
      </c>
    </row>
    <row r="21" customFormat="false" ht="15" hidden="false" customHeight="false" outlineLevel="0" collapsed="false">
      <c r="C21" s="7" t="s">
        <v>291</v>
      </c>
      <c r="D21" s="54" t="n">
        <f aca="false">ABONO!H32</f>
        <v>0.428571428571429</v>
      </c>
      <c r="E21" s="54" t="n">
        <f aca="false">ABONO!I32</f>
        <v>0.492063492063492</v>
      </c>
      <c r="F21" s="54" t="n">
        <f aca="false">ABONO!J32</f>
        <v>0.395555555555556</v>
      </c>
    </row>
    <row r="23" customFormat="false" ht="15" hidden="false" customHeight="false" outlineLevel="0" collapsed="false">
      <c r="C23" s="55" t="s">
        <v>292</v>
      </c>
      <c r="D23" s="55"/>
      <c r="E23" s="55"/>
      <c r="F23" s="55"/>
    </row>
    <row r="25" customFormat="false" ht="19.5" hidden="false" customHeight="true" outlineLevel="0" collapsed="false">
      <c r="B25" s="48" t="s">
        <v>293</v>
      </c>
      <c r="C25" s="48"/>
      <c r="D25" s="48"/>
      <c r="E25" s="48"/>
      <c r="F25" s="48"/>
    </row>
    <row r="26" customFormat="false" ht="15" hidden="false" customHeight="true" outlineLevel="0" collapsed="false">
      <c r="B26" s="13" t="s">
        <v>294</v>
      </c>
      <c r="C26" s="13"/>
      <c r="D26" s="13"/>
      <c r="E26" s="13"/>
      <c r="F26" s="13"/>
    </row>
    <row r="27" customFormat="false" ht="15" hidden="false" customHeight="true" outlineLevel="0" collapsed="false">
      <c r="B27" s="13" t="s">
        <v>295</v>
      </c>
      <c r="C27" s="13"/>
      <c r="D27" s="13"/>
      <c r="E27" s="13"/>
      <c r="F27" s="13"/>
    </row>
    <row r="28" customFormat="false" ht="15" hidden="false" customHeight="true" outlineLevel="0" collapsed="false">
      <c r="B28" s="13" t="s">
        <v>296</v>
      </c>
      <c r="C28" s="13"/>
      <c r="D28" s="13"/>
      <c r="E28" s="13"/>
      <c r="F28" s="13"/>
    </row>
    <row r="30" customFormat="false" ht="19.5" hidden="false" customHeight="true" outlineLevel="0" collapsed="false">
      <c r="B30" s="48" t="s">
        <v>297</v>
      </c>
      <c r="C30" s="48"/>
      <c r="D30" s="48"/>
      <c r="E30" s="48"/>
      <c r="F30" s="48"/>
    </row>
    <row r="31" customFormat="false" ht="15" hidden="false" customHeight="true" outlineLevel="0" collapsed="false">
      <c r="B31" s="13" t="s">
        <v>298</v>
      </c>
      <c r="C31" s="13"/>
      <c r="D31" s="13"/>
      <c r="E31" s="13"/>
      <c r="F31" s="13"/>
    </row>
    <row r="32" customFormat="false" ht="15" hidden="false" customHeight="false" outlineLevel="0" collapsed="false">
      <c r="B32" s="13"/>
      <c r="C32" s="13"/>
      <c r="D32" s="13"/>
      <c r="E32" s="13"/>
      <c r="F32" s="13"/>
    </row>
    <row r="34" customFormat="false" ht="19.5" hidden="false" customHeight="true" outlineLevel="0" collapsed="false">
      <c r="B34" s="48" t="s">
        <v>299</v>
      </c>
      <c r="C34" s="48"/>
      <c r="D34" s="48"/>
      <c r="E34" s="48"/>
      <c r="F34" s="48"/>
    </row>
    <row r="35" customFormat="false" ht="15" hidden="false" customHeight="true" outlineLevel="0" collapsed="false">
      <c r="B35" s="56" t="s">
        <v>300</v>
      </c>
      <c r="C35" s="56"/>
      <c r="D35" s="56"/>
      <c r="E35" s="56"/>
      <c r="F35" s="56"/>
    </row>
    <row r="36" customFormat="false" ht="15" hidden="false" customHeight="true" outlineLevel="0" collapsed="false">
      <c r="B36" s="56" t="s">
        <v>301</v>
      </c>
      <c r="C36" s="56"/>
      <c r="D36" s="56"/>
      <c r="E36" s="56"/>
      <c r="F36" s="56"/>
    </row>
    <row r="37" customFormat="false" ht="15" hidden="false" customHeight="true" outlineLevel="0" collapsed="false">
      <c r="B37" s="56" t="s">
        <v>302</v>
      </c>
      <c r="C37" s="56"/>
      <c r="D37" s="56"/>
      <c r="E37" s="56"/>
      <c r="F37" s="56"/>
    </row>
    <row r="39" customFormat="false" ht="15" hidden="false" customHeight="false" outlineLevel="0" collapsed="false">
      <c r="B39" s="57" t="s">
        <v>303</v>
      </c>
      <c r="C39" s="57"/>
      <c r="D39" s="57"/>
      <c r="E39" s="57"/>
      <c r="F39" s="57"/>
    </row>
  </sheetData>
  <mergeCells count="24">
    <mergeCell ref="B2:F2"/>
    <mergeCell ref="B3:F3"/>
    <mergeCell ref="B5:F5"/>
    <mergeCell ref="B6:F6"/>
    <mergeCell ref="B7:F7"/>
    <mergeCell ref="B8:F8"/>
    <mergeCell ref="B10:F10"/>
    <mergeCell ref="B11:F11"/>
    <mergeCell ref="B12:F12"/>
    <mergeCell ref="B13:F13"/>
    <mergeCell ref="B14:F14"/>
    <mergeCell ref="B16:F16"/>
    <mergeCell ref="C23:F23"/>
    <mergeCell ref="B25:F25"/>
    <mergeCell ref="B26:F26"/>
    <mergeCell ref="B27:F27"/>
    <mergeCell ref="B28:F28"/>
    <mergeCell ref="B30:F30"/>
    <mergeCell ref="B31:F32"/>
    <mergeCell ref="B34:F34"/>
    <mergeCell ref="B35:F35"/>
    <mergeCell ref="B36:F36"/>
    <mergeCell ref="B37:F37"/>
    <mergeCell ref="B39:F3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F7F7F"/>
    <pageSetUpPr fitToPage="false"/>
  </sheetPr>
  <dimension ref="A1:E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52"/>
    <col collapsed="false" customWidth="true" hidden="false" outlineLevel="0" max="3" min="3" style="0" width="34"/>
    <col collapsed="false" customWidth="true" hidden="false" outlineLevel="0" max="4" min="4" style="0" width="14"/>
    <col collapsed="false" customWidth="true" hidden="false" outlineLevel="0" max="5" min="5" style="0" width="30"/>
  </cols>
  <sheetData>
    <row r="1" customFormat="false" ht="25.5" hidden="false" customHeight="true" outlineLevel="0" collapsed="false">
      <c r="A1" s="20" t="s">
        <v>304</v>
      </c>
      <c r="B1" s="20"/>
      <c r="C1" s="20"/>
      <c r="D1" s="20"/>
      <c r="E1" s="20"/>
    </row>
    <row r="2" customFormat="false" ht="27.75" hidden="false" customHeight="true" outlineLevel="0" collapsed="false">
      <c r="A2" s="22" t="s">
        <v>45</v>
      </c>
      <c r="B2" s="22" t="s">
        <v>305</v>
      </c>
      <c r="C2" s="22" t="s">
        <v>306</v>
      </c>
      <c r="D2" s="22" t="s">
        <v>50</v>
      </c>
      <c r="E2" s="22" t="s">
        <v>307</v>
      </c>
    </row>
    <row r="3" customFormat="false" ht="25.5" hidden="false" customHeight="true" outlineLevel="0" collapsed="false">
      <c r="A3" s="23" t="n">
        <v>1</v>
      </c>
      <c r="B3" s="24" t="s">
        <v>308</v>
      </c>
      <c r="C3" s="36" t="s">
        <v>309</v>
      </c>
      <c r="D3" s="31" t="s">
        <v>66</v>
      </c>
      <c r="E3" s="58"/>
    </row>
    <row r="4" customFormat="false" ht="25.5" hidden="false" customHeight="true" outlineLevel="0" collapsed="false">
      <c r="A4" s="23" t="n">
        <v>2</v>
      </c>
      <c r="B4" s="24" t="s">
        <v>310</v>
      </c>
      <c r="C4" s="36" t="s">
        <v>311</v>
      </c>
      <c r="D4" s="31" t="s">
        <v>66</v>
      </c>
      <c r="E4" s="58"/>
    </row>
    <row r="5" customFormat="false" ht="25.5" hidden="false" customHeight="true" outlineLevel="0" collapsed="false">
      <c r="A5" s="23" t="n">
        <v>3</v>
      </c>
      <c r="B5" s="24" t="s">
        <v>312</v>
      </c>
      <c r="C5" s="36" t="s">
        <v>313</v>
      </c>
      <c r="D5" s="31" t="s">
        <v>66</v>
      </c>
      <c r="E5" s="58"/>
    </row>
    <row r="6" customFormat="false" ht="25.5" hidden="false" customHeight="true" outlineLevel="0" collapsed="false">
      <c r="A6" s="23" t="n">
        <v>4</v>
      </c>
      <c r="B6" s="24" t="s">
        <v>314</v>
      </c>
      <c r="C6" s="36" t="s">
        <v>315</v>
      </c>
      <c r="D6" s="31" t="s">
        <v>66</v>
      </c>
      <c r="E6" s="58"/>
    </row>
    <row r="7" customFormat="false" ht="25.5" hidden="false" customHeight="true" outlineLevel="0" collapsed="false">
      <c r="A7" s="23" t="n">
        <v>5</v>
      </c>
      <c r="B7" s="24" t="s">
        <v>316</v>
      </c>
      <c r="C7" s="36" t="s">
        <v>317</v>
      </c>
      <c r="D7" s="31" t="s">
        <v>66</v>
      </c>
      <c r="E7" s="58"/>
    </row>
    <row r="8" customFormat="false" ht="25.5" hidden="false" customHeight="true" outlineLevel="0" collapsed="false">
      <c r="A8" s="23" t="n">
        <v>6</v>
      </c>
      <c r="B8" s="24" t="s">
        <v>318</v>
      </c>
      <c r="C8" s="36" t="s">
        <v>319</v>
      </c>
      <c r="D8" s="31" t="s">
        <v>66</v>
      </c>
      <c r="E8" s="58"/>
    </row>
    <row r="9" customFormat="false" ht="25.5" hidden="false" customHeight="true" outlineLevel="0" collapsed="false">
      <c r="A9" s="23" t="n">
        <v>7</v>
      </c>
      <c r="B9" s="24" t="s">
        <v>320</v>
      </c>
      <c r="C9" s="36" t="s">
        <v>321</v>
      </c>
      <c r="D9" s="31" t="s">
        <v>66</v>
      </c>
      <c r="E9" s="58"/>
    </row>
    <row r="10" customFormat="false" ht="25.5" hidden="false" customHeight="true" outlineLevel="0" collapsed="false">
      <c r="A10" s="23" t="n">
        <v>8</v>
      </c>
      <c r="B10" s="24" t="s">
        <v>322</v>
      </c>
      <c r="C10" s="36" t="s">
        <v>323</v>
      </c>
      <c r="D10" s="31" t="s">
        <v>66</v>
      </c>
      <c r="E10" s="58"/>
    </row>
    <row r="11" customFormat="false" ht="25.5" hidden="false" customHeight="true" outlineLevel="0" collapsed="false">
      <c r="A11" s="23" t="n">
        <v>9</v>
      </c>
      <c r="B11" s="24" t="s">
        <v>324</v>
      </c>
      <c r="C11" s="36" t="s">
        <v>325</v>
      </c>
      <c r="D11" s="31" t="s">
        <v>66</v>
      </c>
      <c r="E11" s="58"/>
    </row>
    <row r="12" customFormat="false" ht="25.5" hidden="false" customHeight="true" outlineLevel="0" collapsed="false">
      <c r="A12" s="23" t="n">
        <v>10</v>
      </c>
      <c r="B12" s="24" t="s">
        <v>326</v>
      </c>
      <c r="C12" s="36" t="s">
        <v>327</v>
      </c>
      <c r="D12" s="31" t="s">
        <v>66</v>
      </c>
      <c r="E12" s="58"/>
    </row>
    <row r="13" customFormat="false" ht="25.5" hidden="false" customHeight="true" outlineLevel="0" collapsed="false">
      <c r="A13" s="23" t="n">
        <v>11</v>
      </c>
      <c r="B13" s="24" t="s">
        <v>328</v>
      </c>
      <c r="C13" s="36" t="s">
        <v>329</v>
      </c>
      <c r="D13" s="31" t="s">
        <v>66</v>
      </c>
      <c r="E13" s="58"/>
    </row>
    <row r="14" customFormat="false" ht="25.5" hidden="false" customHeight="true" outlineLevel="0" collapsed="false">
      <c r="A14" s="23" t="n">
        <v>12</v>
      </c>
      <c r="B14" s="24" t="s">
        <v>330</v>
      </c>
      <c r="C14" s="36" t="s">
        <v>331</v>
      </c>
      <c r="D14" s="31" t="s">
        <v>66</v>
      </c>
      <c r="E14" s="58"/>
    </row>
    <row r="15" customFormat="false" ht="25.5" hidden="false" customHeight="true" outlineLevel="0" collapsed="false">
      <c r="A15" s="23" t="n">
        <v>13</v>
      </c>
      <c r="B15" s="24" t="s">
        <v>332</v>
      </c>
      <c r="C15" s="36" t="s">
        <v>333</v>
      </c>
      <c r="D15" s="31" t="s">
        <v>66</v>
      </c>
      <c r="E15" s="58"/>
    </row>
    <row r="16" customFormat="false" ht="25.5" hidden="false" customHeight="true" outlineLevel="0" collapsed="false">
      <c r="A16" s="23" t="n">
        <v>14</v>
      </c>
      <c r="B16" s="24" t="s">
        <v>334</v>
      </c>
      <c r="C16" s="36" t="s">
        <v>335</v>
      </c>
      <c r="D16" s="31" t="s">
        <v>66</v>
      </c>
      <c r="E16" s="58"/>
    </row>
  </sheetData>
  <mergeCells count="1">
    <mergeCell ref="A1:E1"/>
  </mergeCells>
  <dataValidations count="1">
    <dataValidation allowBlank="true" errorStyle="stop" operator="between" showDropDown="false" showErrorMessage="false" showInputMessage="false" sqref="D3:D16" type="list">
      <formula1>LISTAS!$C$1:$C$4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sheetData>
    <row r="1" customFormat="false" ht="15" hidden="false" customHeight="false" outlineLevel="0" collapsed="false">
      <c r="A1" s="0" t="s">
        <v>66</v>
      </c>
      <c r="B1" s="0" t="s">
        <v>62</v>
      </c>
      <c r="C1" s="0" t="s">
        <v>66</v>
      </c>
    </row>
    <row r="2" customFormat="false" ht="15" hidden="false" customHeight="false" outlineLevel="0" collapsed="false">
      <c r="A2" s="0" t="s">
        <v>336</v>
      </c>
      <c r="B2" s="0" t="s">
        <v>80</v>
      </c>
      <c r="C2" s="0" t="s">
        <v>337</v>
      </c>
    </row>
    <row r="3" customFormat="false" ht="15" hidden="false" customHeight="false" outlineLevel="0" collapsed="false">
      <c r="A3" s="0" t="s">
        <v>338</v>
      </c>
      <c r="B3" s="0" t="s">
        <v>125</v>
      </c>
      <c r="C3" s="0" t="s">
        <v>339</v>
      </c>
    </row>
    <row r="4" customFormat="false" ht="15" hidden="false" customHeight="false" outlineLevel="0" collapsed="false">
      <c r="A4" s="0" t="s">
        <v>59</v>
      </c>
      <c r="C4" s="0" t="s">
        <v>340</v>
      </c>
    </row>
    <row r="5" customFormat="false" ht="15" hidden="false" customHeight="false" outlineLevel="0" collapsed="false">
      <c r="A5" s="0" t="s">
        <v>341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2026-08-07T21:03:19Z</dcterms:created>
  <dc:creator>Estudio Contable</dc:creator>
  <dc:description/>
  <dc:language>en-US</dc:language>
  <cp:lastModifiedBy/>
  <dcterms:modified xsi:type="dcterms:W3CDTF">2026-08-07T21:03:19Z</dcterms:modified>
  <cp:revision>0</cp:revision>
  <dc:subject/>
  <dc:title>Análisis integral y construcción de abono — MATHEU MARCO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